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1-Vision Annuelle" sheetId="2" state="visible" r:id="rId4"/>
    <sheet name="2-Objectifs SMART" sheetId="3" state="visible" r:id="rId5"/>
    <sheet name="3-Planificateur Semaine" sheetId="4" state="visible" r:id="rId6"/>
    <sheet name="4-Planificateur Jour" sheetId="5" state="visible" r:id="rId7"/>
    <sheet name="5-Matrice Eisenhower" sheetId="6" state="visible" r:id="rId8"/>
    <sheet name="6-Suivi Projet" sheetId="7" state="visible" r:id="rId9"/>
    <sheet name="7-Cahier des Charges" sheetId="8" state="visible" r:id="rId10"/>
    <sheet name="8-Taches Deleguees" sheetId="9" state="visible" r:id="rId11"/>
    <sheet name="9-Budget Mensuel" sheetId="10" state="visible" r:id="rId12"/>
    <sheet name="10-Tresorerie" sheetId="11" state="visible" r:id="rId13"/>
    <sheet name="11-ROI" sheetId="12" state="visible" r:id="rId14"/>
    <sheet name="12-Sources Revenus" sheetId="13" state="visible" r:id="rId15"/>
    <sheet name="13-Tracker Habitudes" sheetId="14" state="visible" r:id="rId16"/>
    <sheet name="14-KPIs Business" sheetId="15" state="visible" r:id="rId17"/>
    <sheet name="15-Bilan Hebdomadaire" sheetId="16" state="visible" r:id="rId18"/>
    <sheet name="16-Suivi Programme 30J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<sst xmlns="http://schemas.openxmlformats.org/spreadsheetml/2006/main" count="280" uniqueCount="254">
  <si>
    <t xml:space="preserve">LE CODE DU SUCCÈS — TEMPLATES &amp; OUTILS DE SUIVI</t>
  </si>
  <si>
    <t xml:space="preserve">15 templates prêts à l'emploi + outils de suivi de progression</t>
  </si>
  <si>
    <t xml:space="preserve">Onglet</t>
  </si>
  <si>
    <t xml:space="preserve">Titre</t>
  </si>
  <si>
    <t xml:space="preserve">Description</t>
  </si>
  <si>
    <t xml:space="preserve">1</t>
  </si>
  <si>
    <t xml:space="preserve">Vision &amp; Objectifs Annuels</t>
  </si>
  <si>
    <t xml:space="preserve">Définir votre vision de succès à 12 mois (Jour 1).</t>
  </si>
  <si>
    <t xml:space="preserve">2</t>
  </si>
  <si>
    <t xml:space="preserve">Objectifs SMART Trimestriels</t>
  </si>
  <si>
    <t xml:space="preserve">Décliner la vision annuelle en objectifs trimestriels mesurables.</t>
  </si>
  <si>
    <t xml:space="preserve">3</t>
  </si>
  <si>
    <t xml:space="preserve">Planificateur Hebdomadaire</t>
  </si>
  <si>
    <t xml:space="preserve">Organiser votre semaine autour de vos 3 priorités (Semaine 3).</t>
  </si>
  <si>
    <t xml:space="preserve">4</t>
  </si>
  <si>
    <t xml:space="preserve">Planificateur Journalier</t>
  </si>
  <si>
    <t xml:space="preserve">Time-blocking quotidien — protéger le travail profond (Jour 17).</t>
  </si>
  <si>
    <t xml:space="preserve">5</t>
  </si>
  <si>
    <t xml:space="preserve">Matrice Eisenhower</t>
  </si>
  <si>
    <t xml:space="preserve">Prioriser vos tâches par urgence / importance (Jour 16).</t>
  </si>
  <si>
    <t xml:space="preserve">6</t>
  </si>
  <si>
    <t xml:space="preserve">Suivi de Projet</t>
  </si>
  <si>
    <t xml:space="preserve">Suivi d'avancement type Gantt simplifié pour vos projets.</t>
  </si>
  <si>
    <t xml:space="preserve">7</t>
  </si>
  <si>
    <t xml:space="preserve">Cahier des Charges</t>
  </si>
  <si>
    <t xml:space="preserve">Cadrer un projet ou une offre avant de la lancer.</t>
  </si>
  <si>
    <t xml:space="preserve">8</t>
  </si>
  <si>
    <t xml:space="preserve">Suivi Tâches Déléguées</t>
  </si>
  <si>
    <t xml:space="preserve">Suivre ce que vous avez délégué et à qui (Jour 24).</t>
  </si>
  <si>
    <t xml:space="preserve">9</t>
  </si>
  <si>
    <t xml:space="preserve">Budget Mensuel</t>
  </si>
  <si>
    <t xml:space="preserve">Revenus, charges et marge réelle chaque mois (Jour 26).</t>
  </si>
  <si>
    <t xml:space="preserve">10</t>
  </si>
  <si>
    <t xml:space="preserve">Suivi de Trésorerie</t>
  </si>
  <si>
    <t xml:space="preserve">Entrées, sorties et solde cumulé (cashflow).</t>
  </si>
  <si>
    <t xml:space="preserve">11</t>
  </si>
  <si>
    <t xml:space="preserve">Calcul de Rentabilité (ROI)</t>
  </si>
  <si>
    <t xml:space="preserve">Mesurer le retour sur investissement d'une action ou d'un outil.</t>
  </si>
  <si>
    <t xml:space="preserve">12</t>
  </si>
  <si>
    <t xml:space="preserve">Sources de Revenus</t>
  </si>
  <si>
    <t xml:space="preserve">Répartition et diversification de votre chiffre d'affaires (Jour 25).</t>
  </si>
  <si>
    <t xml:space="preserve">13</t>
  </si>
  <si>
    <t xml:space="preserve">Tracker d'Habitudes</t>
  </si>
  <si>
    <t xml:space="preserve">Suivi quotidien de vos habitudes clés sur 30 jours.</t>
  </si>
  <si>
    <t xml:space="preserve">14</t>
  </si>
  <si>
    <t xml:space="preserve">Suivi des KPIs Business</t>
  </si>
  <si>
    <t xml:space="preserve">Vos indicateurs clés vs objectifs, semaine par semaine (Jour 29).</t>
  </si>
  <si>
    <t xml:space="preserve">15</t>
  </si>
  <si>
    <t xml:space="preserve">Bilan Hebdomadaire</t>
  </si>
  <si>
    <t xml:space="preserve">Rétrospective de fin de semaine — victoires, difficultés, ajustements.</t>
  </si>
  <si>
    <t xml:space="preserve">16</t>
  </si>
  <si>
    <t xml:space="preserve">Suivi Programme 30 Jours</t>
  </si>
  <si>
    <t xml:space="preserve">Cases à cocher jour par jour + % d'avancement global.</t>
  </si>
  <si>
    <t xml:space="preserve">À compléter au Jour 1 — votre définition écrite du succès à 12 mois</t>
  </si>
  <si>
    <t xml:space="preserve">Champ</t>
  </si>
  <si>
    <t xml:space="preserve">Ma réponse</t>
  </si>
  <si>
    <t xml:space="preserve">Revenu cible dans 12 mois</t>
  </si>
  <si>
    <t xml:space="preserve">Nombre d'heures de travail idéal / semaine</t>
  </si>
  <si>
    <t xml:space="preserve">3 mots qui décrivent comment je veux me sentir au quotidien</t>
  </si>
  <si>
    <t xml:space="preserve">Ce que je veux avoir accompli dans 12 mois (résultat concret)</t>
  </si>
  <si>
    <t xml:space="preserve">Ce que je ne veux plus jamais revivre dans mon activité</t>
  </si>
  <si>
    <t xml:space="preserve">La personne que je veux être devenu(e) dans 12 mois</t>
  </si>
  <si>
    <t xml:space="preserve">Légende : cellules bleues = à remplir · cellules dorées = calcul automatique (formule)</t>
  </si>
  <si>
    <t xml:space="preserve">Spécifique · Mesurable · Atteignable · Réaliste · Temporel</t>
  </si>
  <si>
    <t xml:space="preserve">Domaine</t>
  </si>
  <si>
    <t xml:space="preserve">Objectif spécifique et mesurable</t>
  </si>
  <si>
    <t xml:space="preserve">Trimestre</t>
  </si>
  <si>
    <t xml:space="preserve">Valeur de départ</t>
  </si>
  <si>
    <t xml:space="preserve">Valeur cible</t>
  </si>
  <si>
    <t xml:space="preserve">Atteint ?</t>
  </si>
  <si>
    <t xml:space="preserve">Ex : Chiffre d'affaires</t>
  </si>
  <si>
    <t xml:space="preserve">Atteindre 6 000 € de CA mensuel récurrent</t>
  </si>
  <si>
    <t xml:space="preserve">T1 2026</t>
  </si>
  <si>
    <t xml:space="preserve">Non</t>
  </si>
  <si>
    <t xml:space="preserve">Semaine du : ___________ — vos 3 priorités et votre plan par jour</t>
  </si>
  <si>
    <t xml:space="preserve">Mes 3 priorités de la semaine :</t>
  </si>
  <si>
    <t xml:space="preserve">Priorité 1</t>
  </si>
  <si>
    <t xml:space="preserve">Priorité 2</t>
  </si>
  <si>
    <t xml:space="preserve">Priorité 3</t>
  </si>
  <si>
    <t xml:space="preserve">Lundi</t>
  </si>
  <si>
    <t xml:space="preserve">Mardi</t>
  </si>
  <si>
    <t xml:space="preserve">Mercredi</t>
  </si>
  <si>
    <t xml:space="preserve">Jeudi</t>
  </si>
  <si>
    <t xml:space="preserve">Vendredi</t>
  </si>
  <si>
    <t xml:space="preserve">Samedi</t>
  </si>
  <si>
    <t xml:space="preserve">Dimanche</t>
  </si>
  <si>
    <t xml:space="preserve">Matin</t>
  </si>
  <si>
    <t xml:space="preserve">Après-midi</t>
  </si>
  <si>
    <t xml:space="preserve">Soir</t>
  </si>
  <si>
    <t xml:space="preserve">Tâche prioritaire du jour</t>
  </si>
  <si>
    <t xml:space="preserve">Planificateur Journalier — Time-Blocking</t>
  </si>
  <si>
    <t xml:space="preserve">Date : ___________ — bloquez vos créneaux de travail profond (Jour 17)</t>
  </si>
  <si>
    <t xml:space="preserve">Heure</t>
  </si>
  <si>
    <t xml:space="preserve">Activité planifiée</t>
  </si>
  <si>
    <t xml:space="preserve">Catégorie</t>
  </si>
  <si>
    <t xml:space="preserve">Fait ?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</si>
  <si>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</si>
  <si>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</si>
  <si>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</si>
  <si>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</si>
  <si>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</si>
  <si>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</si>
  <si>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</si>
  <si>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</si>
  <si>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</si>
  <si>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</si>
  <si>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</si>
  <si>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</si>
  <si>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</si>
  <si>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</si>
  <si>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Total créneaux marqués « Fait »</t>
  </si>
  <si>
    <t xml:space="preserve">Matrice d'Eisenhower — Priorisation</t>
  </si>
  <si>
    <t xml:space="preserve">Jour 16 — classez vos tâches par urgence et importance</t>
  </si>
  <si>
    <t xml:space="preserve">URGENT + IMPORTANT — À faire en premier</t>
  </si>
  <si>
    <t xml:space="preserve">NON URGENT + IMPORTANT — À planifier</t>
  </si>
  <si>
    <t xml:space="preserve">URGENT + PEU IMPORTANT — À déléguer</t>
  </si>
  <si>
    <t xml:space="preserve">NON URGENT + PEU IMPORTANT — À éliminer</t>
  </si>
  <si>
    <t xml:space="preserve">Légende : remplissez chaque cadran, puis traitez-le dans cet ordre : Urgent+Important &gt; Non urgent+Important &gt; déléguez ou éliminez le reste.</t>
  </si>
  <si>
    <t xml:space="preserve">Suivi de Projet — Gantt Simplifié</t>
  </si>
  <si>
    <t xml:space="preserve">Nom du projet : ___________________</t>
  </si>
  <si>
    <t xml:space="preserve">Tâche</t>
  </si>
  <si>
    <t xml:space="preserve">Responsable</t>
  </si>
  <si>
    <t xml:space="preserve">Début</t>
  </si>
  <si>
    <t xml:space="preserve">Échéance</t>
  </si>
  <si>
    <t xml:space="preserve">Statut</t>
  </si>
  <si>
    <t xml:space="preserve">% avancement</t>
  </si>
  <si>
    <t xml:space="preserve">Notes</t>
  </si>
  <si>
    <t xml:space="preserve">Avancement moyen du projet</t>
  </si>
  <si>
    <t xml:space="preserve">Cahier des Charges Projet</t>
  </si>
  <si>
    <t xml:space="preserve">À remplir avant de lancer un projet ou une nouvelle offre</t>
  </si>
  <si>
    <t xml:space="preserve">Détail</t>
  </si>
  <si>
    <t xml:space="preserve">Nom du projet / de l'offre</t>
  </si>
  <si>
    <t xml:space="preserve">Problème que ça résout pour le client</t>
  </si>
  <si>
    <t xml:space="preserve">Client cible précis</t>
  </si>
  <si>
    <t xml:space="preserve">Résultat attendu (mesurable)</t>
  </si>
  <si>
    <t xml:space="preserve">Périmètre inclus</t>
  </si>
  <si>
    <t xml:space="preserve">Périmètre exclu (hors scope)</t>
  </si>
  <si>
    <t xml:space="preserve">Ressources nécessaires</t>
  </si>
  <si>
    <t xml:space="preserve">Budget alloué</t>
  </si>
  <si>
    <t xml:space="preserve">Date de lancement visée</t>
  </si>
  <si>
    <t xml:space="preserve">Critères de succès</t>
  </si>
  <si>
    <t xml:space="preserve">Risques identifiés</t>
  </si>
  <si>
    <t xml:space="preserve">Suivi des Tâches Déléguées</t>
  </si>
  <si>
    <t xml:space="preserve">Jour 24 — ce que vous avez délégué, à qui, et où ça en est</t>
  </si>
  <si>
    <t xml:space="preserve">Tâche déléguée</t>
  </si>
  <si>
    <t xml:space="preserve">Déléguée à</t>
  </si>
  <si>
    <t xml:space="preserve">Date d'envoi</t>
  </si>
  <si>
    <t xml:space="preserve">Résultat / feedback</t>
  </si>
  <si>
    <t xml:space="preserve">Jour 26 — Mois : ___________ (montants en €)</t>
  </si>
  <si>
    <t xml:space="preserve">REVENUS</t>
  </si>
  <si>
    <t xml:space="preserve">Vente de produits/services</t>
  </si>
  <si>
    <t xml:space="preserve">Abonnements récurrents</t>
  </si>
  <si>
    <t xml:space="preserve">Autres revenus</t>
  </si>
  <si>
    <t xml:space="preserve">Total Revenus</t>
  </si>
  <si>
    <t xml:space="preserve">CHARGES</t>
  </si>
  <si>
    <t xml:space="preserve">Outils et logiciels</t>
  </si>
  <si>
    <t xml:space="preserve">Marketing et publicité</t>
  </si>
  <si>
    <t xml:space="preserve">Sous-traitance / freelances</t>
  </si>
  <si>
    <t xml:space="preserve">Charges fixes (loyer, assurances...)</t>
  </si>
  <si>
    <t xml:space="preserve">Impôts et cotisations</t>
  </si>
  <si>
    <t xml:space="preserve">Autres charges</t>
  </si>
  <si>
    <t xml:space="preserve">Total Charges</t>
  </si>
  <si>
    <t xml:space="preserve">Résultat net</t>
  </si>
  <si>
    <t xml:space="preserve">Marge (%)</t>
  </si>
  <si>
    <t xml:space="preserve">Suivi de Trésorerie (Cashflow)</t>
  </si>
  <si>
    <t xml:space="preserve">Solde de départ, entrées, sorties et solde cumulé jour après jour</t>
  </si>
  <si>
    <t xml:space="preserve">Solde de départ</t>
  </si>
  <si>
    <t xml:space="preserve">Date</t>
  </si>
  <si>
    <t xml:space="preserve">Entrée (€)</t>
  </si>
  <si>
    <t xml:space="preserve">Sortie (€)</t>
  </si>
  <si>
    <t xml:space="preserve">Solde cumulé</t>
  </si>
  <si>
    <t xml:space="preserve">Mesurez le retour sur investissement d'une action, d'un outil ou d'une campagne</t>
  </si>
  <si>
    <t xml:space="preserve">Action / Investissement</t>
  </si>
  <si>
    <t xml:space="preserve">Coût total (€)</t>
  </si>
  <si>
    <t xml:space="preserve">Revenu généré (€)</t>
  </si>
  <si>
    <t xml:space="preserve">Profit (€)</t>
  </si>
  <si>
    <t xml:space="preserve">ROI (%)</t>
  </si>
  <si>
    <t xml:space="preserve">ROI (x)</t>
  </si>
  <si>
    <t xml:space="preserve">Ex : Campagne publicitaire</t>
  </si>
  <si>
    <t xml:space="preserve">Suivi des Sources de Revenus</t>
  </si>
  <si>
    <t xml:space="preserve">Jour 25 — diversification : aucune source ne devrait dépasser 40-50 % du total</t>
  </si>
  <si>
    <t xml:space="preserve">Source de revenu</t>
  </si>
  <si>
    <t xml:space="preserve">Montant mensuel (€)</t>
  </si>
  <si>
    <t xml:space="preserve">% du total</t>
  </si>
  <si>
    <t xml:space="preserve">Alerte concentration</t>
  </si>
  <si>
    <t xml:space="preserve">Total</t>
  </si>
  <si>
    <t xml:space="preserve">Tracker d'Habitudes Quotidiennes</t>
  </si>
  <si>
    <t xml:space="preserve">Cochez 1 chaque jour où l'habitude est tenue — sur les 30 jours du programme</t>
  </si>
  <si>
    <t xml:space="preserve">Habitude</t>
  </si>
  <si>
    <t xml:space="preserve">Lecture du guide (10-15 min)</t>
  </si>
  <si>
    <t xml:space="preserve">Action concrète réalisée</t>
  </si>
  <si>
    <t xml:space="preserve">Créneau de travail profond</t>
  </si>
  <si>
    <t xml:space="preserve">Journaling / réflexion</t>
  </si>
  <si>
    <t xml:space="preserve">Activité physique</t>
  </si>
  <si>
    <t xml:space="preserve">Taux de réussite moyen</t>
  </si>
  <si>
    <t xml:space="preserve">Jour 29 — vos indicateurs clés, semaine par semaine</t>
  </si>
  <si>
    <t xml:space="preserve">Indicateur</t>
  </si>
  <si>
    <t xml:space="preserve">Semaine 1</t>
  </si>
  <si>
    <t xml:space="preserve">Semaine 2</t>
  </si>
  <si>
    <t xml:space="preserve">Semaine 3</t>
  </si>
  <si>
    <t xml:space="preserve">Semaine 4</t>
  </si>
  <si>
    <t xml:space="preserve">Objectif</t>
  </si>
  <si>
    <t xml:space="preserve">% Objectif atteint</t>
  </si>
  <si>
    <t xml:space="preserve">Chiffre d'affaires (€)</t>
  </si>
  <si>
    <t xml:space="preserve">Nombre de nouveaux prospects</t>
  </si>
  <si>
    <t xml:space="preserve">Heures de travail profond</t>
  </si>
  <si>
    <t xml:space="preserve">Niveau d'énergie (1-10)</t>
  </si>
  <si>
    <t xml:space="preserve">Tâches déléguées</t>
  </si>
  <si>
    <t xml:space="preserve">Bilan Hebdomadaire &amp; Rétrospective</t>
  </si>
  <si>
    <t xml:space="preserve">Semaine du : ___________ — à compléter chaque fin de semaine</t>
  </si>
  <si>
    <t xml:space="preserve">Question</t>
  </si>
  <si>
    <t xml:space="preserve">Ma plus grande victoire cette semaine</t>
  </si>
  <si>
    <t xml:space="preserve">Ce qui a le mieux fonctionné</t>
  </si>
  <si>
    <t xml:space="preserve">Ce qui a été le plus difficile</t>
  </si>
  <si>
    <t xml:space="preserve">Ce que je vais ajuster la semaine prochaine</t>
  </si>
  <si>
    <t xml:space="preserve">Mon niveau d'énergie global (1-10)</t>
  </si>
  <si>
    <t xml:space="preserve">Ma priorité n°1 pour la semaine prochaine</t>
  </si>
  <si>
    <t xml:space="preserve">Suivi du Programme — 30 Jours</t>
  </si>
  <si>
    <t xml:space="preserve">Cochez 1 chaque jour terminé pour suivre votre avancement global</t>
  </si>
  <si>
    <t xml:space="preserve">Jour</t>
  </si>
  <si>
    <t xml:space="preserve">Titre du jour</t>
  </si>
  <si>
    <t xml:space="preserve">Terminé (1/0)</t>
  </si>
  <si>
    <t xml:space="preserve">Date de complétion</t>
  </si>
  <si>
    <t xml:space="preserve">Principe 1 — La Clarté Radicale</t>
  </si>
  <si>
    <t xml:space="preserve">Principe 2 — La Responsabilité Totale</t>
  </si>
  <si>
    <t xml:space="preserve">Principe 3 — L'Action Imparfaite</t>
  </si>
  <si>
    <t xml:space="preserve">Principe 4 — La Discipline sur la Motivation</t>
  </si>
  <si>
    <t xml:space="preserve">Principe 5 — L'État d'Esprit de Croissance</t>
  </si>
  <si>
    <t xml:space="preserve">Principe 6 — L'Environnement Façonne le Comportement</t>
  </si>
  <si>
    <t xml:space="preserve">Principe 7 — La Cohérence Composée (Bilan S1)</t>
  </si>
  <si>
    <t xml:space="preserve">Trouver son avantage concurrentiel unique</t>
  </si>
  <si>
    <t xml:space="preserve">Comprendre profondément son client idéal</t>
  </si>
  <si>
    <t xml:space="preserve">L'offre irrésistible (valeur perçue)</t>
  </si>
  <si>
    <t xml:space="preserve">Les canaux d'acquisition qui comptent vraiment</t>
  </si>
  <si>
    <t xml:space="preserve">Construire une machine à prospects (funnel simple)</t>
  </si>
  <si>
    <t xml:space="preserve">Le pouvoir du réseau et des partenariats</t>
  </si>
  <si>
    <t xml:space="preserve">Bilan semaine 2 — Consolider sa stratégie de croissance</t>
  </si>
  <si>
    <t xml:space="preserve">Auditer son temps</t>
  </si>
  <si>
    <t xml:space="preserve">La méthode des priorités (Eisenhower + Règle des 3)</t>
  </si>
  <si>
    <t xml:space="preserve">Le time-blocking et le travail profond</t>
  </si>
  <si>
    <t xml:space="preserve">Éliminer, déléguer, automatiser (les 3D)</t>
  </si>
  <si>
    <t xml:space="preserve">Les outils et systèmes d'automatisation</t>
  </si>
  <si>
    <t xml:space="preserve">Vaincre la procrastination et la surcharge mentale</t>
  </si>
  <si>
    <t xml:space="preserve">Bilan semaine 3 — Votre système de productivité personnel</t>
  </si>
  <si>
    <t xml:space="preserve">Sortir de l'échange temps contre argent</t>
  </si>
  <si>
    <t xml:space="preserve">Construire des systèmes qui tournent sans vous</t>
  </si>
  <si>
    <t xml:space="preserve">Recruter et déléguer efficacement</t>
  </si>
  <si>
    <t xml:space="preserve">Diversifier ses sources de revenus</t>
  </si>
  <si>
    <t xml:space="preserve">Gérer ses finances comme un chef d'entreprise</t>
  </si>
  <si>
    <t xml:space="preserve">Prévenir le burnout et durer dans le temps</t>
  </si>
  <si>
    <t xml:space="preserve">Construire sa communauté et son réseau de soutien</t>
  </si>
  <si>
    <t xml:space="preserve">Mesurer, ajuster, célébrer ses progrès</t>
  </si>
  <si>
    <t xml:space="preserve">Bilan final &amp; feuille de route des 90 prochains jours</t>
  </si>
  <si>
    <t xml:space="preserve">Progression globale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</si>
</sst>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#,##0&quot; €&quot;"/>
    <numFmt numFmtId="168" formatCode="0.0%"/>
    <numFmt numFmtId="169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A5F1E"/>
      <name val="Arial"/>
      <family val="0"/>
      <charset val="1"/>
    </font>
    <font>
      <i val="true"/>
      <sz val="10"/>
      <color rgb="FF6B64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B64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120D"/>
        <bgColor rgb="FF000000"/>
      </patternFill>
    </fill>
    <fill>
      <patternFill patternType="solid">
        <fgColor rgb="FFFFFFFF"/>
        <bgColor rgb="FFFBF1DD"/>
      </patternFill>
    </fill>
    <fill>
      <patternFill patternType="solid">
        <fgColor rgb="FFFBF1DD"/>
        <bgColor rgb="FFFFFFFF"/>
      </patternFill>
    </fill>
    <fill>
      <patternFill patternType="solid">
        <fgColor rgb="FF8A5F1E"/>
        <bgColor rgb="FF6B64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F1E"/>
      <rgbColor rgb="FF800080"/>
      <rgbColor rgb="FF008080"/>
      <rgbColor rgb="FFCCCCCC"/>
      <rgbColor rgb="FF808080"/>
      <rgbColor rgb="FF9999FF"/>
      <rgbColor rgb="FF993366"/>
      <rgbColor rgb="FFFBF1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59"/>
      <rgbColor rgb="FF969696"/>
      <rgbColor rgb="FF003366"/>
      <rgbColor rgb="FF339966"/>
      <rgbColor rgb="FF1512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6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6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6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6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6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6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6" t="s">
        <v>25</v>
      </c>
    </row>
    <row r="12" customFormat="false" ht="15" hidden="false" customHeight="false" outlineLevel="0" collapsed="false">
      <c r="A12" s="4" t="s">
        <v>26</v>
      </c>
      <c r="B12" s="5" t="s">
        <v>27</v>
      </c>
      <c r="C12" s="6" t="s">
        <v>28</v>
      </c>
    </row>
    <row r="13" customFormat="false" ht="15" hidden="false" customHeight="false" outlineLevel="0" collapsed="false">
      <c r="A13" s="4" t="s">
        <v>29</v>
      </c>
      <c r="B13" s="5" t="s">
        <v>30</v>
      </c>
      <c r="C13" s="6" t="s">
        <v>31</v>
      </c>
    </row>
    <row r="14" customFormat="false" ht="15" hidden="false" customHeight="false" outlineLevel="0" collapsed="false">
      <c r="A14" s="4" t="s">
        <v>32</v>
      </c>
      <c r="B14" s="5" t="s">
        <v>33</v>
      </c>
      <c r="C14" s="6" t="s">
        <v>34</v>
      </c>
    </row>
    <row r="15" customFormat="false" ht="15" hidden="false" customHeight="false" outlineLevel="0" collapsed="false">
      <c r="A15" s="4" t="s">
        <v>35</v>
      </c>
      <c r="B15" s="5" t="s">
        <v>36</v>
      </c>
      <c r="C15" s="6" t="s">
        <v>37</v>
      </c>
    </row>
    <row r="16" customFormat="false" ht="15" hidden="false" customHeight="false" outlineLevel="0" collapsed="false">
      <c r="A16" s="4" t="s">
        <v>38</v>
      </c>
      <c r="B16" s="5" t="s">
        <v>39</v>
      </c>
      <c r="C16" s="6" t="s">
        <v>40</v>
      </c>
    </row>
    <row r="17" customFormat="false" ht="15" hidden="false" customHeight="false" outlineLevel="0" collapsed="false">
      <c r="A17" s="4" t="s">
        <v>41</v>
      </c>
      <c r="B17" s="5" t="s">
        <v>42</v>
      </c>
      <c r="C17" s="6" t="s">
        <v>43</v>
      </c>
    </row>
    <row r="18" customFormat="false" ht="15" hidden="false" customHeight="false" outlineLevel="0" collapsed="false">
      <c r="A18" s="4" t="s">
        <v>44</v>
      </c>
      <c r="B18" s="5" t="s">
        <v>45</v>
      </c>
      <c r="C18" s="6" t="s">
        <v>46</v>
      </c>
    </row>
    <row r="19" customFormat="false" ht="15" hidden="false" customHeight="false" outlineLevel="0" collapsed="false">
      <c r="A19" s="4" t="s">
        <v>47</v>
      </c>
      <c r="B19" s="5" t="s">
        <v>48</v>
      </c>
      <c r="C19" s="6" t="s">
        <v>49</v>
      </c>
    </row>
    <row r="20" customFormat="false" ht="15" hidden="false" customHeight="false" outlineLevel="0" collapsed="false">
      <c r="A20" s="4" t="s">
        <v>50</v>
      </c>
      <c r="B20" s="5" t="s">
        <v>51</v>
      </c>
      <c r="C20" s="6" t="s">
        <v>52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6</v>
      </c>
      <c r="B1" s="1"/>
    </row>
    <row r="2" customFormat="false" ht="18" hidden="false" customHeight="true" outlineLevel="0" collapsed="false">
      <c r="A2" s="2" t="s">
        <v>53</v>
      </c>
      <c r="B2" s="2"/>
    </row>
    <row r="4" customFormat="false" ht="21.75" hidden="false" customHeight="true" outlineLevel="0" collapsed="false">
      <c r="A4" s="3" t="s">
        <v>54</v>
      </c>
      <c r="B4" s="3" t="s">
        <v>55</v>
      </c>
    </row>
    <row r="5" customFormat="false" ht="30" hidden="false" customHeight="true" outlineLevel="0" collapsed="false">
      <c r="A5" s="6" t="s">
        <v>56</v>
      </c>
      <c r="B5" s="7"/>
    </row>
    <row r="6" customFormat="false" ht="30" hidden="false" customHeight="true" outlineLevel="0" collapsed="false">
      <c r="A6" s="6" t="s">
        <v>57</v>
      </c>
      <c r="B6" s="7"/>
    </row>
    <row r="7" customFormat="false" ht="30" hidden="false" customHeight="true" outlineLevel="0" collapsed="false">
      <c r="A7" s="6" t="s">
        <v>58</v>
      </c>
      <c r="B7" s="7"/>
    </row>
    <row r="8" customFormat="false" ht="30" hidden="false" customHeight="true" outlineLevel="0" collapsed="false">
      <c r="A8" s="6" t="s">
        <v>59</v>
      </c>
      <c r="B8" s="7"/>
    </row>
    <row r="9" customFormat="false" ht="30" hidden="false" customHeight="true" outlineLevel="0" collapsed="false">
      <c r="A9" s="6" t="s">
        <v>60</v>
      </c>
      <c r="B9" s="7"/>
    </row>
    <row r="10" customFormat="false" ht="30" hidden="false" customHeight="true" outlineLevel="0" collapsed="false">
      <c r="A10" s="6" t="s">
        <v>61</v>
      </c>
      <c r="B10" s="7"/>
    </row>
    <row r="12" customFormat="false" ht="15" hidden="false" customHeight="false" outlineLevel="0" collapsed="false">
      <c r="A12" s="8" t="s">
        <v>62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9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63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69</v>
      </c>
    </row>
    <row r="5" customFormat="false" ht="15" hidden="false" customHeight="false" outlineLevel="0" collapsed="false">
      <c r="A5" s="4" t="s">
        <v>70</v>
      </c>
      <c r="B5" s="4" t="s">
        <v>71</v>
      </c>
      <c r="C5" s="4" t="s">
        <v>72</v>
      </c>
      <c r="D5" s="4" t="n">
        <v>3000</v>
      </c>
      <c r="E5" s="4" t="n">
        <v>6000</v>
      </c>
      <c r="F5" s="4" t="s">
        <v>73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</row>
    <row r="16" customFormat="false" ht="15" hidden="false" customHeight="false" outlineLevel="0" collapsed="false">
      <c r="A16" s="8" t="s">
        <v>62</v>
      </c>
    </row>
  </sheetData>
  <mergeCells count="2">
    <mergeCell ref="A1:F1"/>
    <mergeCell ref="A2:F2"/>
  </mergeCells>
  <dataValidations count="9">
    <dataValidation allowBlank="true" errorStyle="stop" operator="between" showDropDown="false" showErrorMessage="false" showInputMessage="false" sqref="F6" type="list">
      <formula1>"Oui,Non,En cours"</formula1>
      <formula2>0</formula2>
    </dataValidation>
    <dataValidation allowBlank="true" errorStyle="stop" operator="between" showDropDown="false" showErrorMessage="false" showInputMessage="false" sqref="F7" type="list">
      <formula1>"Oui,Non,En cours"</formula1>
      <formula2>0</formula2>
    </dataValidation>
    <dataValidation allowBlank="true" errorStyle="stop" operator="between" showDropDown="false" showErrorMessage="false" showInputMessage="false" sqref="F8" type="list">
      <formula1>"Oui,Non,En cours"</formula1>
      <formula2>0</formula2>
    </dataValidation>
    <dataValidation allowBlank="true" errorStyle="stop" operator="between" showDropDown="false" showErrorMessage="false" showInputMessage="false" sqref="F9" type="list">
      <formula1>"Oui,Non,En cours"</formula1>
      <formula2>0</formula2>
    </dataValidation>
    <dataValidation allowBlank="true" errorStyle="stop" operator="between" showDropDown="false" showErrorMessage="false" showInputMessage="false" sqref="F10" type="list">
      <formula1>"Oui,Non,En cours"</formula1>
      <formula2>0</formula2>
    </dataValidation>
    <dataValidation allowBlank="true" errorStyle="stop" operator="between" showDropDown="false" showErrorMessage="false" showInputMessage="false" sqref="F11" type="list">
      <formula1>"Oui,Non,En cours"</formula1>
      <formula2>0</formula2>
    </dataValidation>
    <dataValidation allowBlank="true" errorStyle="stop" operator="between" showDropDown="false" showErrorMessage="false" showInputMessage="false" sqref="F12" type="list">
      <formula1>"Oui,Non,En cours"</formula1>
      <formula2>0</formula2>
    </dataValidation>
    <dataValidation allowBlank="true" errorStyle="stop" operator="between" showDropDown="false" showErrorMessage="false" showInputMessage="false" sqref="F13" type="list">
      <formula1>"Oui,Non,En cours"</formula1>
      <formula2>0</formula2>
    </dataValidation>
    <dataValidation allowBlank="true" errorStyle="stop" operator="between" showDropDown="false" showErrorMessage="false" showInputMessage="false" sqref="F14" type="list">
      <formula1>"Oui,Non,En cours"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22"/>
  </cols>
  <sheetData>
    <row r="1" customFormat="false" ht="25.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9" t="s">
        <v>75</v>
      </c>
    </row>
    <row r="5" customFormat="false" ht="15" hidden="false" customHeight="false" outlineLevel="0" collapsed="false">
      <c r="A5" s="4" t="s">
        <v>76</v>
      </c>
      <c r="B5" s="7"/>
      <c r="C5" s="7"/>
      <c r="D5" s="7"/>
      <c r="E5" s="7"/>
      <c r="F5" s="7"/>
      <c r="G5" s="7"/>
      <c r="H5" s="7"/>
    </row>
    <row r="6" customFormat="false" ht="15" hidden="false" customHeight="false" outlineLevel="0" collapsed="false">
      <c r="A6" s="4" t="s">
        <v>77</v>
      </c>
      <c r="B6" s="7"/>
      <c r="C6" s="7"/>
      <c r="D6" s="7"/>
      <c r="E6" s="7"/>
      <c r="F6" s="7"/>
      <c r="G6" s="7"/>
      <c r="H6" s="7"/>
    </row>
    <row r="7" customFormat="false" ht="15" hidden="false" customHeight="false" outlineLevel="0" collapsed="false">
      <c r="A7" s="4" t="s">
        <v>78</v>
      </c>
      <c r="B7" s="7"/>
      <c r="C7" s="7"/>
      <c r="D7" s="7"/>
      <c r="E7" s="7"/>
      <c r="F7" s="7"/>
      <c r="G7" s="7"/>
      <c r="H7" s="7"/>
    </row>
    <row r="9" customFormat="false" ht="21.75" hidden="false" customHeight="true" outlineLevel="0" collapsed="false">
      <c r="A9" s="3"/>
      <c r="B9" s="3" t="s">
        <v>79</v>
      </c>
      <c r="C9" s="3" t="s">
        <v>80</v>
      </c>
      <c r="D9" s="3" t="s">
        <v>81</v>
      </c>
      <c r="E9" s="3" t="s">
        <v>82</v>
      </c>
      <c r="F9" s="3" t="s">
        <v>83</v>
      </c>
      <c r="G9" s="3" t="s">
        <v>84</v>
      </c>
      <c r="H9" s="3" t="s">
        <v>85</v>
      </c>
    </row>
    <row r="10" customFormat="false" ht="25.5" hidden="false" customHeight="true" outlineLevel="0" collapsed="false">
      <c r="A10" s="4" t="s">
        <v>86</v>
      </c>
      <c r="B10" s="7"/>
      <c r="C10" s="7"/>
      <c r="D10" s="7"/>
      <c r="E10" s="7"/>
      <c r="F10" s="7"/>
      <c r="G10" s="7"/>
      <c r="H10" s="7"/>
    </row>
    <row r="11" customFormat="false" ht="25.5" hidden="false" customHeight="true" outlineLevel="0" collapsed="false">
      <c r="A11" s="4" t="s">
        <v>87</v>
      </c>
      <c r="B11" s="7"/>
      <c r="C11" s="7"/>
      <c r="D11" s="7"/>
      <c r="E11" s="7"/>
      <c r="F11" s="7"/>
      <c r="G11" s="7"/>
      <c r="H11" s="7"/>
    </row>
    <row r="12" customFormat="false" ht="25.5" hidden="false" customHeight="true" outlineLevel="0" collapsed="false">
      <c r="A12" s="4" t="s">
        <v>88</v>
      </c>
      <c r="B12" s="7"/>
      <c r="C12" s="7"/>
      <c r="D12" s="7"/>
      <c r="E12" s="7"/>
      <c r="F12" s="7"/>
      <c r="G12" s="7"/>
      <c r="H12" s="7"/>
    </row>
    <row r="13" customFormat="false" ht="25.5" hidden="false" customHeight="true" outlineLevel="0" collapsed="false">
      <c r="A13" s="4" t="s">
        <v>89</v>
      </c>
      <c r="B13" s="7"/>
      <c r="C13" s="7"/>
      <c r="D13" s="7"/>
      <c r="E13" s="7"/>
      <c r="F13" s="7"/>
      <c r="G13" s="7"/>
      <c r="H13" s="7"/>
    </row>
    <row r="15" customFormat="false" ht="15" hidden="false" customHeight="false" outlineLevel="0" collapsed="false">
      <c r="A15" s="8" t="s">
        <v>62</v>
      </c>
    </row>
  </sheetData>
  <mergeCells count="5">
    <mergeCell ref="A1:H1"/>
    <mergeCell ref="A2:H2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90</v>
      </c>
      <c r="B1" s="1"/>
      <c r="C1" s="1"/>
      <c r="D1" s="1"/>
    </row>
    <row r="2" customFormat="false" ht="18" hidden="false" customHeight="true" outlineLevel="0" collapsed="false">
      <c r="A2" s="2" t="s">
        <v>91</v>
      </c>
      <c r="B2" s="2"/>
      <c r="C2" s="2"/>
      <c r="D2" s="2"/>
    </row>
    <row r="4" customFormat="false" ht="21.75" hidden="false" customHeight="true" outlineLevel="0" collapsed="false">
      <c r="A4" s="3" t="s">
        <v>92</v>
      </c>
      <c r="B4" s="3" t="s">
        <v>93</v>
      </c>
      <c r="C4" s="3" t="s">
        <v>94</v>
      </c>
      <c r="D4" s="3" t="s">
        <v>95</v>
      </c>
    </row>
    <row r="5" customFormat="false" ht="15" hidden="false" customHeight="false" outlineLevel="0" collapsed="false">
      <c r="A5" s="4" t="s">
        <v>96</v>
      </c>
      <c r="B5" s="7"/>
      <c r="C5" s="7"/>
      <c r="D5" s="10"/>
    </row>
    <row r="6" customFormat="false" ht="15" hidden="false" customHeight="false" outlineLevel="0" collapsed="false">
      <c r="A6" s="4" t="s">
        <v>97</v>
      </c>
      <c r="B6" s="7"/>
      <c r="C6" s="7"/>
      <c r="D6" s="10"/>
    </row>
    <row r="7" customFormat="false" ht="15" hidden="false" customHeight="false" outlineLevel="0" collapsed="false">
      <c r="A7" s="4" t="s">
        <v>98</v>
      </c>
      <c r="B7" s="7"/>
      <c r="C7" s="7"/>
      <c r="D7" s="10"/>
    </row>
    <row r="8" customFormat="false" ht="15" hidden="false" customHeight="false" outlineLevel="0" collapsed="false">
      <c r="A8" s="4" t="s">
        <v>99</v>
      </c>
      <c r="B8" s="7"/>
      <c r="C8" s="7"/>
      <c r="D8" s="10"/>
    </row>
    <row r="9" customFormat="false" ht="15" hidden="false" customHeight="false" outlineLevel="0" collapsed="false">
      <c r="A9" s="4" t="s">
        <v>100</v>
      </c>
      <c r="B9" s="7"/>
      <c r="C9" s="7"/>
      <c r="D9" s="10"/>
    </row>
    <row r="10" customFormat="false" ht="15" hidden="false" customHeight="false" outlineLevel="0" collapsed="false">
      <c r="A10" s="4" t="s">
        <v>101</v>
      </c>
      <c r="B10" s="7"/>
      <c r="C10" s="7"/>
      <c r="D10" s="10"/>
    </row>
    <row r="11" customFormat="false" ht="15" hidden="false" customHeight="false" outlineLevel="0" collapsed="false">
      <c r="A11" s="4" t="s">
        <v>102</v>
      </c>
      <c r="B11" s="7"/>
      <c r="C11" s="7"/>
      <c r="D11" s="10"/>
    </row>
    <row r="12" customFormat="false" ht="15" hidden="false" customHeight="false" outlineLevel="0" collapsed="false">
      <c r="A12" s="4" t="s">
        <v>103</v>
      </c>
      <c r="B12" s="7"/>
      <c r="C12" s="7"/>
      <c r="D12" s="10"/>
    </row>
    <row r="13" customFormat="false" ht="15" hidden="false" customHeight="false" outlineLevel="0" collapsed="false">
      <c r="A13" s="4" t="s">
        <v>104</v>
      </c>
      <c r="B13" s="7"/>
      <c r="C13" s="7"/>
      <c r="D13" s="10"/>
    </row>
    <row r="14" customFormat="false" ht="15" hidden="false" customHeight="false" outlineLevel="0" collapsed="false">
      <c r="A14" s="4" t="s">
        <v>105</v>
      </c>
      <c r="B14" s="7"/>
      <c r="C14" s="7"/>
      <c r="D14" s="10"/>
    </row>
    <row r="15" customFormat="false" ht="15" hidden="false" customHeight="false" outlineLevel="0" collapsed="false">
      <c r="A15" s="4" t="s">
        <v>106</v>
      </c>
      <c r="B15" s="7"/>
      <c r="C15" s="7"/>
      <c r="D15" s="10"/>
    </row>
    <row r="16" customFormat="false" ht="15" hidden="false" customHeight="false" outlineLevel="0" collapsed="false">
      <c r="A16" s="4" t="s">
        <v>107</v>
      </c>
      <c r="B16" s="7"/>
      <c r="C16" s="7"/>
      <c r="D16" s="10"/>
    </row>
    <row r="17" customFormat="false" ht="15" hidden="false" customHeight="false" outlineLevel="0" collapsed="false">
      <c r="A17" s="4" t="s">
        <v>108</v>
      </c>
      <c r="B17" s="7"/>
      <c r="C17" s="7"/>
      <c r="D17" s="10"/>
    </row>
    <row r="18" customFormat="false" ht="15" hidden="false" customHeight="false" outlineLevel="0" collapsed="false">
      <c r="A18" s="4" t="s">
        <v>109</v>
      </c>
      <c r="B18" s="7"/>
      <c r="C18" s="7"/>
      <c r="D18" s="10"/>
    </row>
    <row r="20" customFormat="false" ht="15" hidden="false" customHeight="false" outlineLevel="0" collapsed="false">
      <c r="A20" s="4" t="s">
        <v>110</v>
      </c>
      <c r="B20" s="11" t="n">
        <f aca="false">COUNTIF(D5:D18,"Fait")</f>
        <v>0</v>
      </c>
    </row>
    <row r="22" customFormat="false" ht="15" hidden="false" customHeight="false" outlineLevel="0" collapsed="false">
      <c r="A22" s="8" t="s">
        <v>62</v>
      </c>
    </row>
  </sheetData>
  <mergeCells count="2">
    <mergeCell ref="A1:D1"/>
    <mergeCell ref="A2:D2"/>
  </mergeCells>
  <dataValidations count="14">
    <dataValidation allowBlank="true" errorStyle="stop" operator="between" showDropDown="false" showErrorMessage="false" showInputMessage="false" sqref="D5" type="list">
      <formula1>"Fait,En cours,Non fait"</formula1>
      <formula2>0</formula2>
    </dataValidation>
    <dataValidation allowBlank="true" errorStyle="stop" operator="between" showDropDown="false" showErrorMessage="false" showInputMessage="false" sqref="D6" type="list">
      <formula1>"Fait,En cours,Non fait"</formula1>
      <formula2>0</formula2>
    </dataValidation>
    <dataValidation allowBlank="true" errorStyle="stop" operator="between" showDropDown="false" showErrorMessage="false" showInputMessage="false" sqref="D7" type="list">
      <formula1>"Fait,En cours,Non fait"</formula1>
      <formula2>0</formula2>
    </dataValidation>
    <dataValidation allowBlank="true" errorStyle="stop" operator="between" showDropDown="false" showErrorMessage="false" showInputMessage="false" sqref="D8" type="list">
      <formula1>"Fait,En cours,Non fait"</formula1>
      <formula2>0</formula2>
    </dataValidation>
    <dataValidation allowBlank="true" errorStyle="stop" operator="between" showDropDown="false" showErrorMessage="false" showInputMessage="false" sqref="D9" type="list">
      <formula1>"Fait,En cours,Non fait"</formula1>
      <formula2>0</formula2>
    </dataValidation>
    <dataValidation allowBlank="true" errorStyle="stop" operator="between" showDropDown="false" showErrorMessage="false" showInputMessage="false" sqref="D10" type="list">
      <formula1>"Fait,En cours,Non fait"</formula1>
      <formula2>0</formula2>
    </dataValidation>
    <dataValidation allowBlank="true" errorStyle="stop" operator="between" showDropDown="false" showErrorMessage="false" showInputMessage="false" sqref="D11" type="list">
      <formula1>"Fait,En cours,Non fait"</formula1>
      <formula2>0</formula2>
    </dataValidation>
    <dataValidation allowBlank="true" errorStyle="stop" operator="between" showDropDown="false" showErrorMessage="false" showInputMessage="false" sqref="D12" type="list">
      <formula1>"Fait,En cours,Non fait"</formula1>
      <formula2>0</formula2>
    </dataValidation>
    <dataValidation allowBlank="true" errorStyle="stop" operator="between" showDropDown="false" showErrorMessage="false" showInputMessage="false" sqref="D13" type="list">
      <formula1>"Fait,En cours,Non fait"</formula1>
      <formula2>0</formula2>
    </dataValidation>
    <dataValidation allowBlank="true" errorStyle="stop" operator="between" showDropDown="false" showErrorMessage="false" showInputMessage="false" sqref="D14" type="list">
      <formula1>"Fait,En cours,Non fait"</formula1>
      <formula2>0</formula2>
    </dataValidation>
    <dataValidation allowBlank="true" errorStyle="stop" operator="between" showDropDown="false" showErrorMessage="false" showInputMessage="false" sqref="D15" type="list">
      <formula1>"Fait,En cours,Non fait"</formula1>
      <formula2>0</formula2>
    </dataValidation>
    <dataValidation allowBlank="true" errorStyle="stop" operator="between" showDropDown="false" showErrorMessage="false" showInputMessage="false" sqref="D16" type="list">
      <formula1>"Fait,En cours,Non fait"</formula1>
      <formula2>0</formula2>
    </dataValidation>
    <dataValidation allowBlank="true" errorStyle="stop" operator="between" showDropDown="false" showErrorMessage="false" showInputMessage="false" sqref="D17" type="list">
      <formula1>"Fait,En cours,Non fait"</formula1>
      <formula2>0</formula2>
    </dataValidation>
    <dataValidation allowBlank="true" errorStyle="stop" operator="between" showDropDown="false" showErrorMessage="false" showInputMessage="false" sqref="D18" type="list">
      <formula1>"Fait,En cours,Non fait"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38"/>
    <col collapsed="false" customWidth="true" hidden="false" outlineLevel="0" max="4" min="4" style="0" width="4"/>
  </cols>
  <sheetData>
    <row r="1" customFormat="false" ht="25.5" hidden="false" customHeight="true" outlineLevel="0" collapsed="false">
      <c r="A1" s="1" t="s">
        <v>111</v>
      </c>
      <c r="B1" s="1"/>
      <c r="C1" s="1"/>
      <c r="D1" s="1"/>
    </row>
    <row r="2" customFormat="false" ht="18" hidden="false" customHeight="true" outlineLevel="0" collapsed="false">
      <c r="A2" s="2" t="s">
        <v>112</v>
      </c>
      <c r="B2" s="2"/>
      <c r="C2" s="2"/>
      <c r="D2" s="2"/>
    </row>
    <row r="4" customFormat="false" ht="30" hidden="false" customHeight="true" outlineLevel="0" collapsed="false">
      <c r="B4" s="12" t="s">
        <v>113</v>
      </c>
      <c r="C4" s="13" t="s">
        <v>114</v>
      </c>
    </row>
    <row r="5" customFormat="false" ht="15" hidden="false" customHeight="false" outlineLevel="0" collapsed="false">
      <c r="B5" s="7"/>
      <c r="C5" s="7"/>
    </row>
    <row r="6" customFormat="false" ht="15" hidden="false" customHeight="false" outlineLevel="0" collapsed="false">
      <c r="B6" s="7"/>
      <c r="C6" s="7"/>
    </row>
    <row r="7" customFormat="false" ht="15" hidden="false" customHeight="false" outlineLevel="0" collapsed="false">
      <c r="B7" s="7"/>
      <c r="C7" s="7"/>
    </row>
    <row r="8" customFormat="false" ht="15" hidden="false" customHeight="false" outlineLevel="0" collapsed="false">
      <c r="B8" s="7"/>
      <c r="C8" s="7"/>
    </row>
    <row r="9" customFormat="false" ht="15" hidden="false" customHeight="false" outlineLevel="0" collapsed="false">
      <c r="B9" s="7"/>
      <c r="C9" s="7"/>
    </row>
    <row r="10" customFormat="false" ht="15" hidden="false" customHeight="false" outlineLevel="0" collapsed="false">
      <c r="B10" s="7"/>
      <c r="C10" s="7"/>
    </row>
    <row r="11" customFormat="false" ht="15" hidden="false" customHeight="false" outlineLevel="0" collapsed="false">
      <c r="B11" s="7"/>
      <c r="C11" s="7"/>
    </row>
    <row r="12" customFormat="false" ht="15" hidden="false" customHeight="false" outlineLevel="0" collapsed="false">
      <c r="B12" s="7"/>
      <c r="C12" s="7"/>
    </row>
    <row r="13" customFormat="false" ht="30" hidden="false" customHeight="true" outlineLevel="0" collapsed="false">
      <c r="B13" s="12" t="s">
        <v>115</v>
      </c>
      <c r="C13" s="13" t="s">
        <v>116</v>
      </c>
    </row>
    <row r="14" customFormat="false" ht="15" hidden="false" customHeight="false" outlineLevel="0" collapsed="false">
      <c r="B14" s="7"/>
      <c r="C14" s="7"/>
    </row>
    <row r="15" customFormat="false" ht="15" hidden="false" customHeight="false" outlineLevel="0" collapsed="false">
      <c r="B15" s="7"/>
      <c r="C15" s="7"/>
    </row>
    <row r="16" customFormat="false" ht="15" hidden="false" customHeight="false" outlineLevel="0" collapsed="false">
      <c r="B16" s="7"/>
      <c r="C16" s="7"/>
    </row>
    <row r="17" customFormat="false" ht="15" hidden="false" customHeight="false" outlineLevel="0" collapsed="false">
      <c r="B17" s="7"/>
      <c r="C17" s="7"/>
    </row>
    <row r="18" customFormat="false" ht="15" hidden="false" customHeight="false" outlineLevel="0" collapsed="false">
      <c r="B18" s="7"/>
      <c r="C18" s="7"/>
    </row>
    <row r="19" customFormat="false" ht="15" hidden="false" customHeight="false" outlineLevel="0" collapsed="false">
      <c r="B19" s="7"/>
      <c r="C19" s="7"/>
    </row>
    <row r="20" customFormat="false" ht="15" hidden="false" customHeight="false" outlineLevel="0" collapsed="false">
      <c r="B20" s="7"/>
      <c r="C20" s="7"/>
    </row>
    <row r="21" customFormat="false" ht="15" hidden="false" customHeight="false" outlineLevel="0" collapsed="false">
      <c r="B21" s="7"/>
      <c r="C21" s="7"/>
    </row>
    <row r="22" customFormat="false" ht="15" hidden="false" customHeight="false" outlineLevel="0" collapsed="false">
      <c r="A22" s="8" t="s">
        <v>117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119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126</v>
      </c>
    </row>
    <row r="5" customFormat="false" ht="15" hidden="false" customHeight="false" outlineLevel="0" collapsed="false">
      <c r="A5" s="7"/>
      <c r="B5" s="7"/>
      <c r="C5" s="7"/>
      <c r="D5" s="7"/>
      <c r="E5" s="10"/>
      <c r="F5" s="14" t="n">
        <v>0</v>
      </c>
      <c r="G5" s="4"/>
    </row>
    <row r="6" customFormat="false" ht="15" hidden="false" customHeight="false" outlineLevel="0" collapsed="false">
      <c r="A6" s="7"/>
      <c r="B6" s="7"/>
      <c r="C6" s="7"/>
      <c r="D6" s="7"/>
      <c r="E6" s="10"/>
      <c r="F6" s="14" t="n">
        <v>0</v>
      </c>
      <c r="G6" s="4"/>
    </row>
    <row r="7" customFormat="false" ht="15" hidden="false" customHeight="false" outlineLevel="0" collapsed="false">
      <c r="A7" s="7"/>
      <c r="B7" s="7"/>
      <c r="C7" s="7"/>
      <c r="D7" s="7"/>
      <c r="E7" s="10"/>
      <c r="F7" s="14" t="n">
        <v>0</v>
      </c>
      <c r="G7" s="4"/>
    </row>
    <row r="8" customFormat="false" ht="15" hidden="false" customHeight="false" outlineLevel="0" collapsed="false">
      <c r="A8" s="7"/>
      <c r="B8" s="7"/>
      <c r="C8" s="7"/>
      <c r="D8" s="7"/>
      <c r="E8" s="10"/>
      <c r="F8" s="14" t="n">
        <v>0</v>
      </c>
      <c r="G8" s="4"/>
    </row>
    <row r="9" customFormat="false" ht="15" hidden="false" customHeight="false" outlineLevel="0" collapsed="false">
      <c r="A9" s="7"/>
      <c r="B9" s="7"/>
      <c r="C9" s="7"/>
      <c r="D9" s="7"/>
      <c r="E9" s="10"/>
      <c r="F9" s="14" t="n">
        <v>0</v>
      </c>
      <c r="G9" s="4"/>
    </row>
    <row r="10" customFormat="false" ht="15" hidden="false" customHeight="false" outlineLevel="0" collapsed="false">
      <c r="A10" s="7"/>
      <c r="B10" s="7"/>
      <c r="C10" s="7"/>
      <c r="D10" s="7"/>
      <c r="E10" s="10"/>
      <c r="F10" s="14" t="n">
        <v>0</v>
      </c>
      <c r="G10" s="4"/>
    </row>
    <row r="11" customFormat="false" ht="15" hidden="false" customHeight="false" outlineLevel="0" collapsed="false">
      <c r="A11" s="7"/>
      <c r="B11" s="7"/>
      <c r="C11" s="7"/>
      <c r="D11" s="7"/>
      <c r="E11" s="10"/>
      <c r="F11" s="14" t="n">
        <v>0</v>
      </c>
      <c r="G11" s="4"/>
    </row>
    <row r="12" customFormat="false" ht="15" hidden="false" customHeight="false" outlineLevel="0" collapsed="false">
      <c r="A12" s="7"/>
      <c r="B12" s="7"/>
      <c r="C12" s="7"/>
      <c r="D12" s="7"/>
      <c r="E12" s="10"/>
      <c r="F12" s="14" t="n">
        <v>0</v>
      </c>
      <c r="G12" s="4"/>
    </row>
    <row r="13" customFormat="false" ht="15" hidden="false" customHeight="false" outlineLevel="0" collapsed="false">
      <c r="A13" s="7"/>
      <c r="B13" s="7"/>
      <c r="C13" s="7"/>
      <c r="D13" s="7"/>
      <c r="E13" s="10"/>
      <c r="F13" s="14" t="n">
        <v>0</v>
      </c>
      <c r="G13" s="4"/>
    </row>
    <row r="14" customFormat="false" ht="15" hidden="false" customHeight="false" outlineLevel="0" collapsed="false">
      <c r="A14" s="7"/>
      <c r="B14" s="7"/>
      <c r="C14" s="7"/>
      <c r="D14" s="7"/>
      <c r="E14" s="10"/>
      <c r="F14" s="14" t="n">
        <v>0</v>
      </c>
      <c r="G14" s="4"/>
    </row>
    <row r="15" customFormat="false" ht="15" hidden="false" customHeight="false" outlineLevel="0" collapsed="false">
      <c r="A15" s="4" t="s">
        <v>127</v>
      </c>
      <c r="F15" s="15" t="n">
        <f aca="false">AVERAGE(F5:F14)</f>
        <v>0</v>
      </c>
    </row>
    <row r="17" customFormat="false" ht="15" hidden="false" customHeight="false" outlineLevel="0" collapsed="false">
      <c r="A17" s="8" t="s">
        <v>62</v>
      </c>
    </row>
  </sheetData>
  <mergeCells count="2">
    <mergeCell ref="A1:G1"/>
    <mergeCell ref="A2:G2"/>
  </mergeCells>
  <dataValidations count="10">
    <dataValidation allowBlank="true" errorStyle="stop" operator="between" showDropDown="false" showErrorMessage="false" showInputMessage="false" sqref="E5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6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7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8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9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10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11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12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13" type="list">
      <formula1>"À faire,En cours,Terminé,Bloqué"</formula1>
      <formula2>0</formula2>
    </dataValidation>
    <dataValidation allowBlank="true" errorStyle="stop" operator="between" showDropDown="false" showErrorMessage="false" showInputMessage="false" sqref="E14" type="list">
      <formula1>"À faire,En cours,Terminé,Bloqué"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4"/>
  </cols>
  <sheetData>
    <row r="1" customFormat="false" ht="25.5" hidden="false" customHeight="true" outlineLevel="0" collapsed="false">
      <c r="A1" s="1" t="s">
        <v>128</v>
      </c>
      <c r="B1" s="1"/>
    </row>
    <row r="2" customFormat="false" ht="18" hidden="false" customHeight="true" outlineLevel="0" collapsed="false">
      <c r="A2" s="2" t="s">
        <v>129</v>
      </c>
      <c r="B2" s="2"/>
    </row>
    <row r="4" customFormat="false" ht="21.75" hidden="false" customHeight="true" outlineLevel="0" collapsed="false">
      <c r="A4" s="3" t="s">
        <v>54</v>
      </c>
      <c r="B4" s="3" t="s">
        <v>130</v>
      </c>
    </row>
    <row r="5" customFormat="false" ht="27.75" hidden="false" customHeight="true" outlineLevel="0" collapsed="false">
      <c r="A5" s="6" t="s">
        <v>131</v>
      </c>
      <c r="B5" s="7"/>
    </row>
    <row r="6" customFormat="false" ht="27.75" hidden="false" customHeight="true" outlineLevel="0" collapsed="false">
      <c r="A6" s="6" t="s">
        <v>132</v>
      </c>
      <c r="B6" s="7"/>
    </row>
    <row r="7" customFormat="false" ht="27.75" hidden="false" customHeight="true" outlineLevel="0" collapsed="false">
      <c r="A7" s="6" t="s">
        <v>133</v>
      </c>
      <c r="B7" s="7"/>
    </row>
    <row r="8" customFormat="false" ht="27.75" hidden="false" customHeight="true" outlineLevel="0" collapsed="false">
      <c r="A8" s="6" t="s">
        <v>134</v>
      </c>
      <c r="B8" s="7"/>
    </row>
    <row r="9" customFormat="false" ht="27.75" hidden="false" customHeight="true" outlineLevel="0" collapsed="false">
      <c r="A9" s="6" t="s">
        <v>135</v>
      </c>
      <c r="B9" s="7"/>
    </row>
    <row r="10" customFormat="false" ht="27.75" hidden="false" customHeight="true" outlineLevel="0" collapsed="false">
      <c r="A10" s="6" t="s">
        <v>136</v>
      </c>
      <c r="B10" s="7"/>
    </row>
    <row r="11" customFormat="false" ht="27.75" hidden="false" customHeight="true" outlineLevel="0" collapsed="false">
      <c r="A11" s="6" t="s">
        <v>137</v>
      </c>
      <c r="B11" s="7"/>
    </row>
    <row r="12" customFormat="false" ht="27.75" hidden="false" customHeight="true" outlineLevel="0" collapsed="false">
      <c r="A12" s="6" t="s">
        <v>138</v>
      </c>
      <c r="B12" s="7"/>
    </row>
    <row r="13" customFormat="false" ht="27.75" hidden="false" customHeight="true" outlineLevel="0" collapsed="false">
      <c r="A13" s="6" t="s">
        <v>139</v>
      </c>
      <c r="B13" s="7"/>
    </row>
    <row r="14" customFormat="false" ht="27.75" hidden="false" customHeight="true" outlineLevel="0" collapsed="false">
      <c r="A14" s="6" t="s">
        <v>140</v>
      </c>
      <c r="B14" s="7"/>
    </row>
    <row r="15" customFormat="false" ht="27.75" hidden="false" customHeight="true" outlineLevel="0" collapsed="false">
      <c r="A15" s="6" t="s">
        <v>141</v>
      </c>
      <c r="B15" s="7"/>
    </row>
    <row r="17" customFormat="false" ht="15" hidden="false" customHeight="false" outlineLevel="0" collapsed="false">
      <c r="A17" s="8" t="s">
        <v>62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142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143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144</v>
      </c>
      <c r="B4" s="3" t="s">
        <v>145</v>
      </c>
      <c r="C4" s="3" t="s">
        <v>146</v>
      </c>
      <c r="D4" s="3" t="s">
        <v>123</v>
      </c>
      <c r="E4" s="3" t="s">
        <v>124</v>
      </c>
      <c r="F4" s="3" t="s">
        <v>147</v>
      </c>
    </row>
    <row r="5" customFormat="false" ht="15" hidden="false" customHeight="false" outlineLevel="0" collapsed="false">
      <c r="A5" s="7"/>
      <c r="B5" s="7"/>
      <c r="C5" s="7"/>
      <c r="D5" s="7"/>
      <c r="E5" s="10"/>
      <c r="F5" s="7"/>
    </row>
    <row r="6" customFormat="false" ht="15" hidden="false" customHeight="false" outlineLevel="0" collapsed="false">
      <c r="A6" s="7"/>
      <c r="B6" s="7"/>
      <c r="C6" s="7"/>
      <c r="D6" s="7"/>
      <c r="E6" s="10"/>
      <c r="F6" s="7"/>
    </row>
    <row r="7" customFormat="false" ht="15" hidden="false" customHeight="false" outlineLevel="0" collapsed="false">
      <c r="A7" s="7"/>
      <c r="B7" s="7"/>
      <c r="C7" s="7"/>
      <c r="D7" s="7"/>
      <c r="E7" s="10"/>
      <c r="F7" s="7"/>
    </row>
    <row r="8" customFormat="false" ht="15" hidden="false" customHeight="false" outlineLevel="0" collapsed="false">
      <c r="A8" s="7"/>
      <c r="B8" s="7"/>
      <c r="C8" s="7"/>
      <c r="D8" s="7"/>
      <c r="E8" s="10"/>
      <c r="F8" s="7"/>
    </row>
    <row r="9" customFormat="false" ht="15" hidden="false" customHeight="false" outlineLevel="0" collapsed="false">
      <c r="A9" s="7"/>
      <c r="B9" s="7"/>
      <c r="C9" s="7"/>
      <c r="D9" s="7"/>
      <c r="E9" s="10"/>
      <c r="F9" s="7"/>
    </row>
    <row r="10" customFormat="false" ht="15" hidden="false" customHeight="false" outlineLevel="0" collapsed="false">
      <c r="A10" s="7"/>
      <c r="B10" s="7"/>
      <c r="C10" s="7"/>
      <c r="D10" s="7"/>
      <c r="E10" s="10"/>
      <c r="F10" s="7"/>
    </row>
    <row r="11" customFormat="false" ht="15" hidden="false" customHeight="false" outlineLevel="0" collapsed="false">
      <c r="A11" s="7"/>
      <c r="B11" s="7"/>
      <c r="C11" s="7"/>
      <c r="D11" s="7"/>
      <c r="E11" s="10"/>
      <c r="F11" s="7"/>
    </row>
    <row r="12" customFormat="false" ht="15" hidden="false" customHeight="false" outlineLevel="0" collapsed="false">
      <c r="A12" s="7"/>
      <c r="B12" s="7"/>
      <c r="C12" s="7"/>
      <c r="D12" s="7"/>
      <c r="E12" s="10"/>
      <c r="F12" s="7"/>
    </row>
    <row r="13" customFormat="false" ht="15" hidden="false" customHeight="false" outlineLevel="0" collapsed="false">
      <c r="A13" s="7"/>
      <c r="B13" s="7"/>
      <c r="C13" s="7"/>
      <c r="D13" s="7"/>
      <c r="E13" s="10"/>
      <c r="F13" s="7"/>
    </row>
    <row r="14" customFormat="false" ht="15" hidden="false" customHeight="false" outlineLevel="0" collapsed="false">
      <c r="A14" s="7"/>
      <c r="B14" s="7"/>
      <c r="C14" s="7"/>
      <c r="D14" s="7"/>
      <c r="E14" s="10"/>
      <c r="F14" s="7"/>
    </row>
    <row r="16" customFormat="false" ht="15" hidden="false" customHeight="false" outlineLevel="0" collapsed="false">
      <c r="A16" s="8" t="s">
        <v>62</v>
      </c>
    </row>
  </sheetData>
  <mergeCells count="2">
    <mergeCell ref="A1:F1"/>
    <mergeCell ref="A2:F2"/>
  </mergeCells>
  <dataValidations count="10">
    <dataValidation allowBlank="true" errorStyle="stop" operator="between" showDropDown="false" showErrorMessage="false" showInputMessage="false" sqref="E5" type="list">
      <formula1>"En attente,En cours,Terminé,À reprendre"</formula1>
      <formula2>0</formula2>
    </dataValidation>
    <dataValidation allowBlank="true" errorStyle="stop" operator="between" showDropDown="false" showErrorMessage="false" showInputMessage="false" sqref="E6" type="list">
      <formula1>"En attente,En cours,Terminé,À reprendre"</formula1>
      <formula2>0</formula2>
    </dataValidation>
    <dataValidation allowBlank="true" errorStyle="stop" operator="between" showDropDown="false" showErrorMessage="false" showInputMessage="false" sqref="E7" type="list">
      <formula1>"En attente,En cours,Terminé,À reprendre"</formula1>
      <formula2>0</formula2>
    </dataValidation>
    <dataValidation allowBlank="true" errorStyle="stop" operator="between" showDropDown="false" showErrorMessage="false" showInputMessage="false" sqref="E8" type="list">
      <formula1>"En attente,En cours,Terminé,À reprendre"</formula1>
      <formula2>0</formula2>
    </dataValidation>
    <dataValidation allowBlank="true" errorStyle="stop" operator="between" showDropDown="false" showErrorMessage="false" showInputMessage="false" sqref="E9" type="list">
      <formula1>"En attente,En cours,Terminé,À reprendre"</formula1>
      <formula2>0</formula2>
    </dataValidation>
    <dataValidation allowBlank="true" errorStyle="stop" operator="between" showDropDown="false" showErrorMessage="false" showInputMessage="false" sqref="E10" type="list">
      <formula1>"En attente,En cours,Terminé,À reprendre"</formula1>
      <formula2>0</formula2>
    </dataValidation>
    <dataValidation allowBlank="true" errorStyle="stop" operator="between" showDropDown="false" showErrorMessage="false" showInputMessage="false" sqref="E11" type="list">
      <formula1>"En attente,En cours,Terminé,À reprendre"</formula1>
      <formula2>0</formula2>
    </dataValidation>
    <dataValidation allowBlank="true" errorStyle="stop" operator="between" showDropDown="false" showErrorMessage="false" showInputMessage="false" sqref="E12" type="list">
      <formula1>"En attente,En cours,Terminé,À reprendre"</formula1>
      <formula2>0</formula2>
    </dataValidation>
    <dataValidation allowBlank="true" errorStyle="stop" operator="between" showDropDown="false" showErrorMessage="false" showInputMessage="false" sqref="E13" type="list">
      <formula1>"En attente,En cours,Terminé,À reprendre"</formula1>
      <formula2>0</formula2>
    </dataValidation>
    <dataValidation allowBlank="true" errorStyle="stop" operator="between" showDropDown="false" showErrorMessage="false" showInputMessage="false" sqref="E14" type="list">
      <formula1>"En attente,En cours,Terminé,À reprendre"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</cols>
  <sheetData>
    <row r="1" customFormat="false" ht="25.5" hidden="false" customHeight="true" outlineLevel="0" collapsed="false">
      <c r="A1" s="1" t="s">
        <v>30</v>
      </c>
      <c r="B1" s="1"/>
    </row>
    <row r="2" customFormat="false" ht="18" hidden="false" customHeight="true" outlineLevel="0" collapsed="false">
      <c r="A2" s="2" t="s">
        <v>148</v>
      </c>
      <c r="B2" s="2"/>
    </row>
    <row r="4" customFormat="false" ht="15" hidden="false" customHeight="false" outlineLevel="0" collapsed="false">
      <c r="A4" s="16" t="s">
        <v>149</v>
      </c>
      <c r="B4" s="17"/>
    </row>
    <row r="5" customFormat="false" ht="15" hidden="false" customHeight="false" outlineLevel="0" collapsed="false">
      <c r="A5" s="4" t="s">
        <v>150</v>
      </c>
      <c r="B5" s="18" t="n">
        <v>0</v>
      </c>
    </row>
    <row r="6" customFormat="false" ht="15" hidden="false" customHeight="false" outlineLevel="0" collapsed="false">
      <c r="A6" s="4" t="s">
        <v>151</v>
      </c>
      <c r="B6" s="18" t="n">
        <v>0</v>
      </c>
    </row>
    <row r="7" customFormat="false" ht="15" hidden="false" customHeight="false" outlineLevel="0" collapsed="false">
      <c r="A7" s="4" t="s">
        <v>152</v>
      </c>
      <c r="B7" s="18" t="n">
        <v>0</v>
      </c>
    </row>
    <row r="8" customFormat="false" ht="15" hidden="false" customHeight="false" outlineLevel="0" collapsed="false">
      <c r="A8" s="4" t="s">
        <v>153</v>
      </c>
      <c r="B8" s="19" t="n">
        <f aca="false">SUM(B5:B7)</f>
        <v>0</v>
      </c>
    </row>
    <row r="10" customFormat="false" ht="15" hidden="false" customHeight="false" outlineLevel="0" collapsed="false">
      <c r="A10" s="20" t="s">
        <v>154</v>
      </c>
      <c r="B10" s="21"/>
    </row>
    <row r="11" customFormat="false" ht="15" hidden="false" customHeight="false" outlineLevel="0" collapsed="false">
      <c r="A11" s="4" t="s">
        <v>155</v>
      </c>
      <c r="B11" s="18" t="n">
        <v>0</v>
      </c>
    </row>
    <row r="12" customFormat="false" ht="15" hidden="false" customHeight="false" outlineLevel="0" collapsed="false">
      <c r="A12" s="4" t="s">
        <v>156</v>
      </c>
      <c r="B12" s="18" t="n">
        <v>0</v>
      </c>
    </row>
    <row r="13" customFormat="false" ht="15" hidden="false" customHeight="false" outlineLevel="0" collapsed="false">
      <c r="A13" s="4" t="s">
        <v>157</v>
      </c>
      <c r="B13" s="18" t="n">
        <v>0</v>
      </c>
    </row>
    <row r="14" customFormat="false" ht="15" hidden="false" customHeight="false" outlineLevel="0" collapsed="false">
      <c r="A14" s="4" t="s">
        <v>158</v>
      </c>
      <c r="B14" s="18" t="n">
        <v>0</v>
      </c>
    </row>
    <row r="15" customFormat="false" ht="15" hidden="false" customHeight="false" outlineLevel="0" collapsed="false">
      <c r="A15" s="4" t="s">
        <v>159</v>
      </c>
      <c r="B15" s="18" t="n">
        <v>0</v>
      </c>
    </row>
    <row r="16" customFormat="false" ht="15" hidden="false" customHeight="false" outlineLevel="0" collapsed="false">
      <c r="A16" s="4" t="s">
        <v>160</v>
      </c>
      <c r="B16" s="18" t="n">
        <v>0</v>
      </c>
    </row>
    <row r="17" customFormat="false" ht="15" hidden="false" customHeight="false" outlineLevel="0" collapsed="false">
      <c r="A17" s="4" t="s">
        <v>161</v>
      </c>
      <c r="B17" s="19" t="n">
        <f aca="false">SUM(B11:B16)</f>
        <v>0</v>
      </c>
    </row>
    <row r="19" customFormat="false" ht="15" hidden="false" customHeight="false" outlineLevel="0" collapsed="false">
      <c r="A19" s="4" t="s">
        <v>162</v>
      </c>
      <c r="B19" s="19" t="n">
        <f aca="false">B8-B17</f>
        <v>0</v>
      </c>
    </row>
    <row r="20" customFormat="false" ht="15" hidden="false" customHeight="false" outlineLevel="0" collapsed="false">
      <c r="A20" s="4" t="s">
        <v>163</v>
      </c>
      <c r="B20" s="22" t="n">
        <f aca="false">IFERROR(B19/B8,0)</f>
        <v>0</v>
      </c>
    </row>
    <row r="22" customFormat="false" ht="15" hidden="false" customHeight="false" outlineLevel="0" collapsed="false">
      <c r="A22" s="8" t="s">
        <v>62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1" t="s">
        <v>164</v>
      </c>
      <c r="B1" s="1"/>
      <c r="C1" s="1"/>
      <c r="D1" s="1"/>
      <c r="E1" s="1"/>
    </row>
    <row r="2" customFormat="false" ht="18" hidden="false" customHeight="true" outlineLevel="0" collapsed="false">
      <c r="A2" s="2" t="s">
        <v>165</v>
      </c>
      <c r="B2" s="2"/>
      <c r="C2" s="2"/>
      <c r="D2" s="2"/>
      <c r="E2" s="2"/>
    </row>
    <row r="4" customFormat="false" ht="15" hidden="false" customHeight="false" outlineLevel="0" collapsed="false">
      <c r="A4" s="4" t="s">
        <v>166</v>
      </c>
      <c r="B4" s="18" t="n">
        <v>0</v>
      </c>
    </row>
    <row r="6" customFormat="false" ht="21.75" hidden="false" customHeight="true" outlineLevel="0" collapsed="false">
      <c r="A6" s="3" t="s">
        <v>167</v>
      </c>
      <c r="B6" s="3" t="s">
        <v>4</v>
      </c>
      <c r="C6" s="3" t="s">
        <v>168</v>
      </c>
      <c r="D6" s="3" t="s">
        <v>169</v>
      </c>
      <c r="E6" s="3" t="s">
        <v>170</v>
      </c>
    </row>
    <row r="7" customFormat="false" ht="15" hidden="false" customHeight="false" outlineLevel="0" collapsed="false">
      <c r="A7" s="7"/>
      <c r="B7" s="7"/>
      <c r="C7" s="18" t="n">
        <v>0</v>
      </c>
      <c r="D7" s="18" t="n">
        <v>0</v>
      </c>
      <c r="E7" s="19" t="n">
        <f aca="false">B4+C7-D7</f>
        <v>0</v>
      </c>
    </row>
    <row r="8" customFormat="false" ht="15" hidden="false" customHeight="false" outlineLevel="0" collapsed="false">
      <c r="A8" s="7"/>
      <c r="B8" s="7"/>
      <c r="C8" s="18" t="n">
        <v>0</v>
      </c>
      <c r="D8" s="18" t="n">
        <v>0</v>
      </c>
      <c r="E8" s="19" t="n">
        <f aca="false">E7+C8-D8</f>
        <v>0</v>
      </c>
    </row>
    <row r="9" customFormat="false" ht="15" hidden="false" customHeight="false" outlineLevel="0" collapsed="false">
      <c r="A9" s="7"/>
      <c r="B9" s="7"/>
      <c r="C9" s="18" t="n">
        <v>0</v>
      </c>
      <c r="D9" s="18" t="n">
        <v>0</v>
      </c>
      <c r="E9" s="19" t="n">
        <f aca="false">E8+C9-D9</f>
        <v>0</v>
      </c>
    </row>
    <row r="10" customFormat="false" ht="15" hidden="false" customHeight="false" outlineLevel="0" collapsed="false">
      <c r="A10" s="7"/>
      <c r="B10" s="7"/>
      <c r="C10" s="18" t="n">
        <v>0</v>
      </c>
      <c r="D10" s="18" t="n">
        <v>0</v>
      </c>
      <c r="E10" s="19" t="n">
        <f aca="false">E9+C10-D10</f>
        <v>0</v>
      </c>
    </row>
    <row r="11" customFormat="false" ht="15" hidden="false" customHeight="false" outlineLevel="0" collapsed="false">
      <c r="A11" s="7"/>
      <c r="B11" s="7"/>
      <c r="C11" s="18" t="n">
        <v>0</v>
      </c>
      <c r="D11" s="18" t="n">
        <v>0</v>
      </c>
      <c r="E11" s="19" t="n">
        <f aca="false">E10+C11-D11</f>
        <v>0</v>
      </c>
    </row>
    <row r="12" customFormat="false" ht="15" hidden="false" customHeight="false" outlineLevel="0" collapsed="false">
      <c r="A12" s="7"/>
      <c r="B12" s="7"/>
      <c r="C12" s="18" t="n">
        <v>0</v>
      </c>
      <c r="D12" s="18" t="n">
        <v>0</v>
      </c>
      <c r="E12" s="19" t="n">
        <f aca="false">E11+C12-D12</f>
        <v>0</v>
      </c>
    </row>
    <row r="13" customFormat="false" ht="15" hidden="false" customHeight="false" outlineLevel="0" collapsed="false">
      <c r="A13" s="7"/>
      <c r="B13" s="7"/>
      <c r="C13" s="18" t="n">
        <v>0</v>
      </c>
      <c r="D13" s="18" t="n">
        <v>0</v>
      </c>
      <c r="E13" s="19" t="n">
        <f aca="false">E12+C13-D13</f>
        <v>0</v>
      </c>
    </row>
    <row r="14" customFormat="false" ht="15" hidden="false" customHeight="false" outlineLevel="0" collapsed="false">
      <c r="A14" s="7"/>
      <c r="B14" s="7"/>
      <c r="C14" s="18" t="n">
        <v>0</v>
      </c>
      <c r="D14" s="18" t="n">
        <v>0</v>
      </c>
      <c r="E14" s="19" t="n">
        <f aca="false">E13+C14-D14</f>
        <v>0</v>
      </c>
    </row>
    <row r="15" customFormat="false" ht="15" hidden="false" customHeight="false" outlineLevel="0" collapsed="false">
      <c r="A15" s="7"/>
      <c r="B15" s="7"/>
      <c r="C15" s="18" t="n">
        <v>0</v>
      </c>
      <c r="D15" s="18" t="n">
        <v>0</v>
      </c>
      <c r="E15" s="19" t="n">
        <f aca="false">E14+C15-D15</f>
        <v>0</v>
      </c>
    </row>
    <row r="16" customFormat="false" ht="15" hidden="false" customHeight="false" outlineLevel="0" collapsed="false">
      <c r="A16" s="7"/>
      <c r="B16" s="7"/>
      <c r="C16" s="18" t="n">
        <v>0</v>
      </c>
      <c r="D16" s="18" t="n">
        <v>0</v>
      </c>
      <c r="E16" s="19" t="n">
        <f aca="false">E15+C16-D16</f>
        <v>0</v>
      </c>
    </row>
    <row r="17" customFormat="false" ht="15" hidden="false" customHeight="false" outlineLevel="0" collapsed="false">
      <c r="A17" s="7"/>
      <c r="B17" s="7"/>
      <c r="C17" s="18" t="n">
        <v>0</v>
      </c>
      <c r="D17" s="18" t="n">
        <v>0</v>
      </c>
      <c r="E17" s="19" t="n">
        <f aca="false">E16+C17-D17</f>
        <v>0</v>
      </c>
    </row>
    <row r="18" customFormat="false" ht="15" hidden="false" customHeight="false" outlineLevel="0" collapsed="false">
      <c r="A18" s="7"/>
      <c r="B18" s="7"/>
      <c r="C18" s="18" t="n">
        <v>0</v>
      </c>
      <c r="D18" s="18" t="n">
        <v>0</v>
      </c>
      <c r="E18" s="19" t="n">
        <f aca="false">E17+C18-D18</f>
        <v>0</v>
      </c>
    </row>
    <row r="19" customFormat="false" ht="15" hidden="false" customHeight="false" outlineLevel="0" collapsed="false">
      <c r="A19" s="7"/>
      <c r="B19" s="7"/>
      <c r="C19" s="18" t="n">
        <v>0</v>
      </c>
      <c r="D19" s="18" t="n">
        <v>0</v>
      </c>
      <c r="E19" s="19" t="n">
        <f aca="false">E18+C19-D19</f>
        <v>0</v>
      </c>
    </row>
    <row r="20" customFormat="false" ht="15" hidden="false" customHeight="false" outlineLevel="0" collapsed="false">
      <c r="A20" s="7"/>
      <c r="B20" s="7"/>
      <c r="C20" s="18" t="n">
        <v>0</v>
      </c>
      <c r="D20" s="18" t="n">
        <v>0</v>
      </c>
      <c r="E20" s="19" t="n">
        <f aca="false">E19+C20-D20</f>
        <v>0</v>
      </c>
    </row>
    <row r="21" customFormat="false" ht="15" hidden="false" customHeight="false" outlineLevel="0" collapsed="false">
      <c r="A21" s="7"/>
      <c r="B21" s="7"/>
      <c r="C21" s="18" t="n">
        <v>0</v>
      </c>
      <c r="D21" s="18" t="n">
        <v>0</v>
      </c>
      <c r="E21" s="19" t="n">
        <f aca="false">E20+C21-D21</f>
        <v>0</v>
      </c>
    </row>
    <row r="23" customFormat="false" ht="15" hidden="false" customHeight="false" outlineLevel="0" collapsed="false">
      <c r="A23" s="8" t="s">
        <v>62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25.5" hidden="false" customHeight="true" outlineLevel="0" collapsed="false">
      <c r="A1" s="1" t="s">
        <v>36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171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172</v>
      </c>
      <c r="B4" s="3" t="s">
        <v>173</v>
      </c>
      <c r="C4" s="3" t="s">
        <v>174</v>
      </c>
      <c r="D4" s="3" t="s">
        <v>175</v>
      </c>
      <c r="E4" s="3" t="s">
        <v>176</v>
      </c>
      <c r="F4" s="3" t="s">
        <v>177</v>
      </c>
    </row>
    <row r="5" customFormat="false" ht="15" hidden="false" customHeight="false" outlineLevel="0" collapsed="false">
      <c r="A5" s="7" t="s">
        <v>178</v>
      </c>
      <c r="B5" s="18" t="n">
        <v>200</v>
      </c>
      <c r="C5" s="18" t="n">
        <v>650</v>
      </c>
      <c r="D5" s="19" t="n">
        <f aca="false">C5-B5</f>
        <v>450</v>
      </c>
      <c r="E5" s="22" t="n">
        <f aca="false">IFERROR(D5/B5,0)</f>
        <v>2.25</v>
      </c>
      <c r="F5" s="23" t="n">
        <f aca="false">IFERROR(C5/B5,0)</f>
        <v>3.25</v>
      </c>
    </row>
    <row r="6" customFormat="false" ht="15" hidden="false" customHeight="false" outlineLevel="0" collapsed="false">
      <c r="A6" s="7"/>
      <c r="B6" s="18" t="n">
        <v>0</v>
      </c>
      <c r="C6" s="18" t="n">
        <v>0</v>
      </c>
      <c r="D6" s="19" t="n">
        <f aca="false">C6-B6</f>
        <v>0</v>
      </c>
      <c r="E6" s="22" t="n">
        <f aca="false">IFERROR(D6/B6,0)</f>
        <v>0</v>
      </c>
      <c r="F6" s="23" t="n">
        <f aca="false">IFERROR(C6/B6,0)</f>
        <v>0</v>
      </c>
    </row>
    <row r="7" customFormat="false" ht="15" hidden="false" customHeight="false" outlineLevel="0" collapsed="false">
      <c r="A7" s="7"/>
      <c r="B7" s="18" t="n">
        <v>0</v>
      </c>
      <c r="C7" s="18" t="n">
        <v>0</v>
      </c>
      <c r="D7" s="19" t="n">
        <f aca="false">C7-B7</f>
        <v>0</v>
      </c>
      <c r="E7" s="22" t="n">
        <f aca="false">IFERROR(D7/B7,0)</f>
        <v>0</v>
      </c>
      <c r="F7" s="23" t="n">
        <f aca="false">IFERROR(C7/B7,0)</f>
        <v>0</v>
      </c>
    </row>
    <row r="8" customFormat="false" ht="15" hidden="false" customHeight="false" outlineLevel="0" collapsed="false">
      <c r="A8" s="7"/>
      <c r="B8" s="18" t="n">
        <v>0</v>
      </c>
      <c r="C8" s="18" t="n">
        <v>0</v>
      </c>
      <c r="D8" s="19" t="n">
        <f aca="false">C8-B8</f>
        <v>0</v>
      </c>
      <c r="E8" s="22" t="n">
        <f aca="false">IFERROR(D8/B8,0)</f>
        <v>0</v>
      </c>
      <c r="F8" s="23" t="n">
        <f aca="false">IFERROR(C8/B8,0)</f>
        <v>0</v>
      </c>
    </row>
    <row r="9" customFormat="false" ht="15" hidden="false" customHeight="false" outlineLevel="0" collapsed="false">
      <c r="A9" s="7"/>
      <c r="B9" s="18" t="n">
        <v>0</v>
      </c>
      <c r="C9" s="18" t="n">
        <v>0</v>
      </c>
      <c r="D9" s="19" t="n">
        <f aca="false">C9-B9</f>
        <v>0</v>
      </c>
      <c r="E9" s="22" t="n">
        <f aca="false">IFERROR(D9/B9,0)</f>
        <v>0</v>
      </c>
      <c r="F9" s="23" t="n">
        <f aca="false">IFERROR(C9/B9,0)</f>
        <v>0</v>
      </c>
    </row>
    <row r="10" customFormat="false" ht="15" hidden="false" customHeight="false" outlineLevel="0" collapsed="false">
      <c r="A10" s="7"/>
      <c r="B10" s="18" t="n">
        <v>0</v>
      </c>
      <c r="C10" s="18" t="n">
        <v>0</v>
      </c>
      <c r="D10" s="19" t="n">
        <f aca="false">C10-B10</f>
        <v>0</v>
      </c>
      <c r="E10" s="22" t="n">
        <f aca="false">IFERROR(D10/B10,0)</f>
        <v>0</v>
      </c>
      <c r="F10" s="23" t="n">
        <f aca="false">IFERROR(C10/B10,0)</f>
        <v>0</v>
      </c>
    </row>
    <row r="11" customFormat="false" ht="15" hidden="false" customHeight="false" outlineLevel="0" collapsed="false">
      <c r="A11" s="7"/>
      <c r="B11" s="18" t="n">
        <v>0</v>
      </c>
      <c r="C11" s="18" t="n">
        <v>0</v>
      </c>
      <c r="D11" s="19" t="n">
        <f aca="false">C11-B11</f>
        <v>0</v>
      </c>
      <c r="E11" s="22" t="n">
        <f aca="false">IFERROR(D11/B11,0)</f>
        <v>0</v>
      </c>
      <c r="F11" s="23" t="n">
        <f aca="false">IFERROR(C11/B11,0)</f>
        <v>0</v>
      </c>
    </row>
    <row r="12" customFormat="false" ht="15" hidden="false" customHeight="false" outlineLevel="0" collapsed="false">
      <c r="A12" s="7"/>
      <c r="B12" s="18" t="n">
        <v>0</v>
      </c>
      <c r="C12" s="18" t="n">
        <v>0</v>
      </c>
      <c r="D12" s="19" t="n">
        <f aca="false">C12-B12</f>
        <v>0</v>
      </c>
      <c r="E12" s="22" t="n">
        <f aca="false">IFERROR(D12/B12,0)</f>
        <v>0</v>
      </c>
      <c r="F12" s="23" t="n">
        <f aca="false">IFERROR(C12/B12,0)</f>
        <v>0</v>
      </c>
    </row>
    <row r="13" customFormat="false" ht="15" hidden="false" customHeight="false" outlineLevel="0" collapsed="false">
      <c r="A13" s="7"/>
      <c r="B13" s="18" t="n">
        <v>0</v>
      </c>
      <c r="C13" s="18" t="n">
        <v>0</v>
      </c>
      <c r="D13" s="19" t="n">
        <f aca="false">C13-B13</f>
        <v>0</v>
      </c>
      <c r="E13" s="22" t="n">
        <f aca="false">IFERROR(D13/B13,0)</f>
        <v>0</v>
      </c>
      <c r="F13" s="23" t="n">
        <f aca="false">IFERROR(C13/B13,0)</f>
        <v>0</v>
      </c>
    </row>
    <row r="14" customFormat="false" ht="15" hidden="false" customHeight="false" outlineLevel="0" collapsed="false">
      <c r="A14" s="7"/>
      <c r="B14" s="18" t="n">
        <v>0</v>
      </c>
      <c r="C14" s="18" t="n">
        <v>0</v>
      </c>
      <c r="D14" s="19" t="n">
        <f aca="false">C14-B14</f>
        <v>0</v>
      </c>
      <c r="E14" s="22" t="n">
        <f aca="false">IFERROR(D14/B14,0)</f>
        <v>0</v>
      </c>
      <c r="F14" s="23" t="n">
        <f aca="false">IFERROR(C14/B14,0)</f>
        <v>0</v>
      </c>
    </row>
    <row r="16" customFormat="false" ht="15" hidden="false" customHeight="false" outlineLevel="0" collapsed="false">
      <c r="A16" s="8" t="s">
        <v>62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" t="s">
        <v>179</v>
      </c>
      <c r="B1" s="1"/>
      <c r="C1" s="1"/>
      <c r="D1" s="1"/>
    </row>
    <row r="2" customFormat="false" ht="18" hidden="false" customHeight="true" outlineLevel="0" collapsed="false">
      <c r="A2" s="2" t="s">
        <v>180</v>
      </c>
      <c r="B2" s="2"/>
      <c r="C2" s="2"/>
      <c r="D2" s="2"/>
    </row>
    <row r="4" customFormat="false" ht="21.75" hidden="false" customHeight="true" outlineLevel="0" collapsed="false">
      <c r="A4" s="3" t="s">
        <v>181</v>
      </c>
      <c r="B4" s="3" t="s">
        <v>182</v>
      </c>
      <c r="C4" s="3" t="s">
        <v>183</v>
      </c>
      <c r="D4" s="3" t="s">
        <v>184</v>
      </c>
    </row>
    <row r="5" customFormat="false" ht="15" hidden="false" customHeight="false" outlineLevel="0" collapsed="false">
      <c r="A5" s="7"/>
      <c r="B5" s="18" t="n">
        <v>0</v>
      </c>
      <c r="C5" s="22" t="n">
        <f aca="false">IFERROR(B5/B$13,0)</f>
        <v>0</v>
      </c>
      <c r="D5" s="11" t="str">
        <f aca="false">IF(C5&gt;0.5,"Trop concentré","OK")</f>
        <v>OK</v>
      </c>
    </row>
    <row r="6" customFormat="false" ht="15" hidden="false" customHeight="false" outlineLevel="0" collapsed="false">
      <c r="A6" s="7"/>
      <c r="B6" s="18" t="n">
        <v>0</v>
      </c>
      <c r="C6" s="22" t="n">
        <f aca="false">IFERROR(B6/B$13,0)</f>
        <v>0</v>
      </c>
      <c r="D6" s="11" t="str">
        <f aca="false">IF(C6&gt;0.5,"Trop concentré","OK")</f>
        <v>OK</v>
      </c>
    </row>
    <row r="7" customFormat="false" ht="15" hidden="false" customHeight="false" outlineLevel="0" collapsed="false">
      <c r="A7" s="7"/>
      <c r="B7" s="18" t="n">
        <v>0</v>
      </c>
      <c r="C7" s="22" t="n">
        <f aca="false">IFERROR(B7/B$13,0)</f>
        <v>0</v>
      </c>
      <c r="D7" s="11" t="str">
        <f aca="false">IF(C7&gt;0.5,"Trop concentré","OK")</f>
        <v>OK</v>
      </c>
    </row>
    <row r="8" customFormat="false" ht="15" hidden="false" customHeight="false" outlineLevel="0" collapsed="false">
      <c r="A8" s="7"/>
      <c r="B8" s="18" t="n">
        <v>0</v>
      </c>
      <c r="C8" s="22" t="n">
        <f aca="false">IFERROR(B8/B$13,0)</f>
        <v>0</v>
      </c>
      <c r="D8" s="11" t="str">
        <f aca="false">IF(C8&gt;0.5,"Trop concentré","OK")</f>
        <v>OK</v>
      </c>
    </row>
    <row r="9" customFormat="false" ht="15" hidden="false" customHeight="false" outlineLevel="0" collapsed="false">
      <c r="A9" s="7"/>
      <c r="B9" s="18" t="n">
        <v>0</v>
      </c>
      <c r="C9" s="22" t="n">
        <f aca="false">IFERROR(B9/B$13,0)</f>
        <v>0</v>
      </c>
      <c r="D9" s="11" t="str">
        <f aca="false">IF(C9&gt;0.5,"Trop concentré","OK")</f>
        <v>OK</v>
      </c>
    </row>
    <row r="10" customFormat="false" ht="15" hidden="false" customHeight="false" outlineLevel="0" collapsed="false">
      <c r="A10" s="7"/>
      <c r="B10" s="18" t="n">
        <v>0</v>
      </c>
      <c r="C10" s="22" t="n">
        <f aca="false">IFERROR(B10/B$13,0)</f>
        <v>0</v>
      </c>
      <c r="D10" s="11" t="str">
        <f aca="false">IF(C10&gt;0.5,"Trop concentré","OK")</f>
        <v>OK</v>
      </c>
    </row>
    <row r="11" customFormat="false" ht="15" hidden="false" customHeight="false" outlineLevel="0" collapsed="false">
      <c r="A11" s="7"/>
      <c r="B11" s="18" t="n">
        <v>0</v>
      </c>
      <c r="C11" s="22" t="n">
        <f aca="false">IFERROR(B11/B$13,0)</f>
        <v>0</v>
      </c>
      <c r="D11" s="11" t="str">
        <f aca="false">IF(C11&gt;0.5,"Trop concentré","OK")</f>
        <v>OK</v>
      </c>
    </row>
    <row r="12" customFormat="false" ht="15" hidden="false" customHeight="false" outlineLevel="0" collapsed="false">
      <c r="A12" s="7"/>
      <c r="B12" s="18" t="n">
        <v>0</v>
      </c>
      <c r="C12" s="22" t="n">
        <f aca="false">IFERROR(B12/B$13,0)</f>
        <v>0</v>
      </c>
      <c r="D12" s="11" t="str">
        <f aca="false">IF(C12&gt;0.5,"Trop concentré","OK")</f>
        <v>OK</v>
      </c>
    </row>
    <row r="13" customFormat="false" ht="15" hidden="false" customHeight="false" outlineLevel="0" collapsed="false">
      <c r="A13" s="4" t="s">
        <v>185</v>
      </c>
      <c r="B13" s="19" t="n">
        <f aca="false">SUM(B5:B12)</f>
        <v>0</v>
      </c>
    </row>
    <row r="15" customFormat="false" ht="15" hidden="false" customHeight="false" outlineLevel="0" collapsed="false">
      <c r="A15" s="8" t="s">
        <v>62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1" min="2" style="0" width="3.2"/>
    <col collapsed="false" customWidth="true" hidden="false" outlineLevel="0" max="32" min="32" style="0" width="10"/>
  </cols>
  <sheetData>
    <row r="1" customFormat="false" ht="25.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8" hidden="false" customHeight="true" outlineLevel="0" collapsed="false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customFormat="false" ht="18" hidden="false" customHeight="true" outlineLevel="0" collapsed="false">
      <c r="A4" s="3" t="s">
        <v>188</v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  <c r="L4" s="3" t="n">
        <v>11</v>
      </c>
      <c r="M4" s="3" t="n">
        <v>12</v>
      </c>
      <c r="N4" s="3" t="n">
        <v>13</v>
      </c>
      <c r="O4" s="3" t="n">
        <v>14</v>
      </c>
      <c r="P4" s="3" t="n">
        <v>15</v>
      </c>
      <c r="Q4" s="3" t="n">
        <v>16</v>
      </c>
      <c r="R4" s="3" t="n">
        <v>17</v>
      </c>
      <c r="S4" s="3" t="n">
        <v>18</v>
      </c>
      <c r="T4" s="3" t="n">
        <v>19</v>
      </c>
      <c r="U4" s="3" t="n">
        <v>20</v>
      </c>
      <c r="V4" s="3" t="n">
        <v>21</v>
      </c>
      <c r="W4" s="3" t="n">
        <v>22</v>
      </c>
      <c r="X4" s="3" t="n">
        <v>23</v>
      </c>
      <c r="Y4" s="3" t="n">
        <v>24</v>
      </c>
      <c r="Z4" s="3" t="n">
        <v>25</v>
      </c>
      <c r="AA4" s="3" t="n">
        <v>26</v>
      </c>
      <c r="AB4" s="3" t="n">
        <v>27</v>
      </c>
      <c r="AC4" s="3" t="n">
        <v>28</v>
      </c>
      <c r="AD4" s="3" t="n">
        <v>29</v>
      </c>
      <c r="AE4" s="3" t="n">
        <v>30</v>
      </c>
      <c r="AF4" s="3" t="s">
        <v>185</v>
      </c>
    </row>
    <row r="5" customFormat="false" ht="15" hidden="false" customHeight="false" outlineLevel="0" collapsed="false">
      <c r="A5" s="4" t="s">
        <v>189</v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4" t="n">
        <v>0</v>
      </c>
      <c r="L5" s="24" t="n">
        <v>0</v>
      </c>
      <c r="M5" s="24" t="n">
        <v>0</v>
      </c>
      <c r="N5" s="24" t="n">
        <v>0</v>
      </c>
      <c r="O5" s="24" t="n">
        <v>0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0</v>
      </c>
      <c r="X5" s="24" t="n">
        <v>0</v>
      </c>
      <c r="Y5" s="24" t="n">
        <v>0</v>
      </c>
      <c r="Z5" s="24" t="n">
        <v>0</v>
      </c>
      <c r="AA5" s="24" t="n">
        <v>0</v>
      </c>
      <c r="AB5" s="24" t="n">
        <v>0</v>
      </c>
      <c r="AC5" s="24" t="n">
        <v>0</v>
      </c>
      <c r="AD5" s="24" t="n">
        <v>0</v>
      </c>
      <c r="AE5" s="24" t="n">
        <v>0</v>
      </c>
      <c r="AF5" s="11" t="n">
        <f aca="false">SUM(B5:AE5)</f>
        <v>0</v>
      </c>
    </row>
    <row r="6" customFormat="false" ht="15" hidden="false" customHeight="false" outlineLevel="0" collapsed="false">
      <c r="A6" s="4" t="s">
        <v>190</v>
      </c>
      <c r="B6" s="24" t="n">
        <v>0</v>
      </c>
      <c r="C6" s="24" t="n">
        <v>0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0</v>
      </c>
      <c r="N6" s="24" t="n">
        <v>0</v>
      </c>
      <c r="O6" s="24" t="n">
        <v>0</v>
      </c>
      <c r="P6" s="24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4" t="n">
        <v>0</v>
      </c>
      <c r="AB6" s="24" t="n">
        <v>0</v>
      </c>
      <c r="AC6" s="24" t="n">
        <v>0</v>
      </c>
      <c r="AD6" s="24" t="n">
        <v>0</v>
      </c>
      <c r="AE6" s="24" t="n">
        <v>0</v>
      </c>
      <c r="AF6" s="11" t="n">
        <f aca="false">SUM(B6:AE6)</f>
        <v>0</v>
      </c>
    </row>
    <row r="7" customFormat="false" ht="15" hidden="false" customHeight="false" outlineLevel="0" collapsed="false">
      <c r="A7" s="4" t="s">
        <v>191</v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 t="n">
        <v>0</v>
      </c>
      <c r="N7" s="24" t="n">
        <v>0</v>
      </c>
      <c r="O7" s="24" t="n">
        <v>0</v>
      </c>
      <c r="P7" s="24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0</v>
      </c>
      <c r="X7" s="24" t="n">
        <v>0</v>
      </c>
      <c r="Y7" s="24" t="n">
        <v>0</v>
      </c>
      <c r="Z7" s="24" t="n">
        <v>0</v>
      </c>
      <c r="AA7" s="24" t="n">
        <v>0</v>
      </c>
      <c r="AB7" s="24" t="n">
        <v>0</v>
      </c>
      <c r="AC7" s="24" t="n">
        <v>0</v>
      </c>
      <c r="AD7" s="24" t="n">
        <v>0</v>
      </c>
      <c r="AE7" s="24" t="n">
        <v>0</v>
      </c>
      <c r="AF7" s="11" t="n">
        <f aca="false">SUM(B7:AE7)</f>
        <v>0</v>
      </c>
    </row>
    <row r="8" customFormat="false" ht="15" hidden="false" customHeight="false" outlineLevel="0" collapsed="false">
      <c r="A8" s="4" t="s">
        <v>192</v>
      </c>
      <c r="B8" s="24" t="n">
        <v>0</v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0</v>
      </c>
      <c r="N8" s="24" t="n">
        <v>0</v>
      </c>
      <c r="O8" s="24" t="n">
        <v>0</v>
      </c>
      <c r="P8" s="24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24" t="n">
        <v>0</v>
      </c>
      <c r="AC8" s="24" t="n">
        <v>0</v>
      </c>
      <c r="AD8" s="24" t="n">
        <v>0</v>
      </c>
      <c r="AE8" s="24" t="n">
        <v>0</v>
      </c>
      <c r="AF8" s="11" t="n">
        <f aca="false">SUM(B8:AE8)</f>
        <v>0</v>
      </c>
    </row>
    <row r="9" customFormat="false" ht="15" hidden="false" customHeight="false" outlineLevel="0" collapsed="false">
      <c r="A9" s="4" t="s">
        <v>193</v>
      </c>
      <c r="B9" s="24" t="n">
        <v>0</v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</v>
      </c>
      <c r="M9" s="24" t="n">
        <v>0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0</v>
      </c>
      <c r="X9" s="24" t="n">
        <v>0</v>
      </c>
      <c r="Y9" s="24" t="n">
        <v>0</v>
      </c>
      <c r="Z9" s="24" t="n">
        <v>0</v>
      </c>
      <c r="AA9" s="24" t="n">
        <v>0</v>
      </c>
      <c r="AB9" s="24" t="n">
        <v>0</v>
      </c>
      <c r="AC9" s="24" t="n">
        <v>0</v>
      </c>
      <c r="AD9" s="24" t="n">
        <v>0</v>
      </c>
      <c r="AE9" s="24" t="n">
        <v>0</v>
      </c>
      <c r="AF9" s="11" t="n">
        <f aca="false">SUM(B9:AE9)</f>
        <v>0</v>
      </c>
    </row>
    <row r="10" customFormat="false" ht="15" hidden="false" customHeight="false" outlineLevel="0" collapsed="false">
      <c r="A10" s="4" t="s">
        <v>194</v>
      </c>
      <c r="AF10" s="15" t="n">
        <f aca="false">IFERROR(AVERAGE(AF5:AF9)/30,0)</f>
        <v>0</v>
      </c>
    </row>
    <row r="12" customFormat="false" ht="15" hidden="false" customHeight="false" outlineLevel="0" collapsed="false">
      <c r="A12" s="8" t="s">
        <v>62</v>
      </c>
    </row>
  </sheetData>
  <mergeCells count="2">
    <mergeCell ref="A1:AF1"/>
    <mergeCell ref="A2:AF2"/>
  </mergeCells>
  <dataValidations count="150">
    <dataValidation allowBlank="true" errorStyle="stop" operator="between" showDropDown="false" showErrorMessage="false" showInputMessage="false" sqref="B5" type="list">
      <formula1>"0,1"</formula1>
      <formula2>0</formula2>
    </dataValidation>
    <dataValidation allowBlank="true" errorStyle="stop" operator="between" showDropDown="false" showErrorMessage="false" showInputMessage="false" sqref="C5" type="list">
      <formula1>"0,1"</formula1>
      <formula2>0</formula2>
    </dataValidation>
    <dataValidation allowBlank="true" errorStyle="stop" operator="between" showDropDown="false" showErrorMessage="false" showInputMessage="false" sqref="D5" type="list">
      <formula1>"0,1"</formula1>
      <formula2>0</formula2>
    </dataValidation>
    <dataValidation allowBlank="true" errorStyle="stop" operator="between" showDropDown="false" showErrorMessage="false" showInputMessage="false" sqref="E5" type="list">
      <formula1>"0,1"</formula1>
      <formula2>0</formula2>
    </dataValidation>
    <dataValidation allowBlank="true" errorStyle="stop" operator="between" showDropDown="false" showErrorMessage="false" showInputMessage="false" sqref="F5" type="list">
      <formula1>"0,1"</formula1>
      <formula2>0</formula2>
    </dataValidation>
    <dataValidation allowBlank="true" errorStyle="stop" operator="between" showDropDown="false" showErrorMessage="false" showInputMessage="false" sqref="G5" type="list">
      <formula1>"0,1"</formula1>
      <formula2>0</formula2>
    </dataValidation>
    <dataValidation allowBlank="true" errorStyle="stop" operator="between" showDropDown="false" showErrorMessage="false" showInputMessage="false" sqref="H5" type="list">
      <formula1>"0,1"</formula1>
      <formula2>0</formula2>
    </dataValidation>
    <dataValidation allowBlank="true" errorStyle="stop" operator="between" showDropDown="false" showErrorMessage="false" showInputMessage="false" sqref="I5" type="list">
      <formula1>"0,1"</formula1>
      <formula2>0</formula2>
    </dataValidation>
    <dataValidation allowBlank="true" errorStyle="stop" operator="between" showDropDown="false" showErrorMessage="false" showInputMessage="false" sqref="J5" type="list">
      <formula1>"0,1"</formula1>
      <formula2>0</formula2>
    </dataValidation>
    <dataValidation allowBlank="true" errorStyle="stop" operator="between" showDropDown="false" showErrorMessage="false" showInputMessage="false" sqref="K5" type="list">
      <formula1>"0,1"</formula1>
      <formula2>0</formula2>
    </dataValidation>
    <dataValidation allowBlank="true" errorStyle="stop" operator="between" showDropDown="false" showErrorMessage="false" showInputMessage="false" sqref="L5" type="list">
      <formula1>"0,1"</formula1>
      <formula2>0</formula2>
    </dataValidation>
    <dataValidation allowBlank="true" errorStyle="stop" operator="between" showDropDown="false" showErrorMessage="false" showInputMessage="false" sqref="M5" type="list">
      <formula1>"0,1"</formula1>
      <formula2>0</formula2>
    </dataValidation>
    <dataValidation allowBlank="true" errorStyle="stop" operator="between" showDropDown="false" showErrorMessage="false" showInputMessage="false" sqref="N5" type="list">
      <formula1>"0,1"</formula1>
      <formula2>0</formula2>
    </dataValidation>
    <dataValidation allowBlank="true" errorStyle="stop" operator="between" showDropDown="false" showErrorMessage="false" showInputMessage="false" sqref="O5" type="list">
      <formula1>"0,1"</formula1>
      <formula2>0</formula2>
    </dataValidation>
    <dataValidation allowBlank="true" errorStyle="stop" operator="between" showDropDown="false" showErrorMessage="false" showInputMessage="false" sqref="P5" type="list">
      <formula1>"0,1"</formula1>
      <formula2>0</formula2>
    </dataValidation>
    <dataValidation allowBlank="true" errorStyle="stop" operator="between" showDropDown="false" showErrorMessage="false" showInputMessage="false" sqref="Q5" type="list">
      <formula1>"0,1"</formula1>
      <formula2>0</formula2>
    </dataValidation>
    <dataValidation allowBlank="true" errorStyle="stop" operator="between" showDropDown="false" showErrorMessage="false" showInputMessage="false" sqref="R5" type="list">
      <formula1>"0,1"</formula1>
      <formula2>0</formula2>
    </dataValidation>
    <dataValidation allowBlank="true" errorStyle="stop" operator="between" showDropDown="false" showErrorMessage="false" showInputMessage="false" sqref="S5" type="list">
      <formula1>"0,1"</formula1>
      <formula2>0</formula2>
    </dataValidation>
    <dataValidation allowBlank="true" errorStyle="stop" operator="between" showDropDown="false" showErrorMessage="false" showInputMessage="false" sqref="T5" type="list">
      <formula1>"0,1"</formula1>
      <formula2>0</formula2>
    </dataValidation>
    <dataValidation allowBlank="true" errorStyle="stop" operator="between" showDropDown="false" showErrorMessage="false" showInputMessage="false" sqref="U5" type="list">
      <formula1>"0,1"</formula1>
      <formula2>0</formula2>
    </dataValidation>
    <dataValidation allowBlank="true" errorStyle="stop" operator="between" showDropDown="false" showErrorMessage="false" showInputMessage="false" sqref="V5" type="list">
      <formula1>"0,1"</formula1>
      <formula2>0</formula2>
    </dataValidation>
    <dataValidation allowBlank="true" errorStyle="stop" operator="between" showDropDown="false" showErrorMessage="false" showInputMessage="false" sqref="W5" type="list">
      <formula1>"0,1"</formula1>
      <formula2>0</formula2>
    </dataValidation>
    <dataValidation allowBlank="true" errorStyle="stop" operator="between" showDropDown="false" showErrorMessage="false" showInputMessage="false" sqref="X5" type="list">
      <formula1>"0,1"</formula1>
      <formula2>0</formula2>
    </dataValidation>
    <dataValidation allowBlank="true" errorStyle="stop" operator="between" showDropDown="false" showErrorMessage="false" showInputMessage="false" sqref="Y5" type="list">
      <formula1>"0,1"</formula1>
      <formula2>0</formula2>
    </dataValidation>
    <dataValidation allowBlank="true" errorStyle="stop" operator="between" showDropDown="false" showErrorMessage="false" showInputMessage="false" sqref="Z5" type="list">
      <formula1>"0,1"</formula1>
      <formula2>0</formula2>
    </dataValidation>
    <dataValidation allowBlank="true" errorStyle="stop" operator="between" showDropDown="false" showErrorMessage="false" showInputMessage="false" sqref="AA5" type="list">
      <formula1>"0,1"</formula1>
      <formula2>0</formula2>
    </dataValidation>
    <dataValidation allowBlank="true" errorStyle="stop" operator="between" showDropDown="false" showErrorMessage="false" showInputMessage="false" sqref="AB5" type="list">
      <formula1>"0,1"</formula1>
      <formula2>0</formula2>
    </dataValidation>
    <dataValidation allowBlank="true" errorStyle="stop" operator="between" showDropDown="false" showErrorMessage="false" showInputMessage="false" sqref="AC5" type="list">
      <formula1>"0,1"</formula1>
      <formula2>0</formula2>
    </dataValidation>
    <dataValidation allowBlank="true" errorStyle="stop" operator="between" showDropDown="false" showErrorMessage="false" showInputMessage="false" sqref="AD5" type="list">
      <formula1>"0,1"</formula1>
      <formula2>0</formula2>
    </dataValidation>
    <dataValidation allowBlank="true" errorStyle="stop" operator="between" showDropDown="false" showErrorMessage="false" showInputMessage="false" sqref="AE5" type="list">
      <formula1>"0,1"</formula1>
      <formula2>0</formula2>
    </dataValidation>
    <dataValidation allowBlank="true" errorStyle="stop" operator="between" showDropDown="false" showErrorMessage="false" showInputMessage="false" sqref="B6" type="list">
      <formula1>"0,1"</formula1>
      <formula2>0</formula2>
    </dataValidation>
    <dataValidation allowBlank="true" errorStyle="stop" operator="between" showDropDown="false" showErrorMessage="false" showInputMessage="false" sqref="C6" type="list">
      <formula1>"0,1"</formula1>
      <formula2>0</formula2>
    </dataValidation>
    <dataValidation allowBlank="true" errorStyle="stop" operator="between" showDropDown="false" showErrorMessage="false" showInputMessage="false" sqref="D6" type="list">
      <formula1>"0,1"</formula1>
      <formula2>0</formula2>
    </dataValidation>
    <dataValidation allowBlank="true" errorStyle="stop" operator="between" showDropDown="false" showErrorMessage="false" showInputMessage="false" sqref="E6" type="list">
      <formula1>"0,1"</formula1>
      <formula2>0</formula2>
    </dataValidation>
    <dataValidation allowBlank="true" errorStyle="stop" operator="between" showDropDown="false" showErrorMessage="false" showInputMessage="false" sqref="F6" type="list">
      <formula1>"0,1"</formula1>
      <formula2>0</formula2>
    </dataValidation>
    <dataValidation allowBlank="true" errorStyle="stop" operator="between" showDropDown="false" showErrorMessage="false" showInputMessage="false" sqref="G6" type="list">
      <formula1>"0,1"</formula1>
      <formula2>0</formula2>
    </dataValidation>
    <dataValidation allowBlank="true" errorStyle="stop" operator="between" showDropDown="false" showErrorMessage="false" showInputMessage="false" sqref="H6" type="list">
      <formula1>"0,1"</formula1>
      <formula2>0</formula2>
    </dataValidation>
    <dataValidation allowBlank="true" errorStyle="stop" operator="between" showDropDown="false" showErrorMessage="false" showInputMessage="false" sqref="I6" type="list">
      <formula1>"0,1"</formula1>
      <formula2>0</formula2>
    </dataValidation>
    <dataValidation allowBlank="true" errorStyle="stop" operator="between" showDropDown="false" showErrorMessage="false" showInputMessage="false" sqref="J6" type="list">
      <formula1>"0,1"</formula1>
      <formula2>0</formula2>
    </dataValidation>
    <dataValidation allowBlank="true" errorStyle="stop" operator="between" showDropDown="false" showErrorMessage="false" showInputMessage="false" sqref="K6" type="list">
      <formula1>"0,1"</formula1>
      <formula2>0</formula2>
    </dataValidation>
    <dataValidation allowBlank="true" errorStyle="stop" operator="between" showDropDown="false" showErrorMessage="false" showInputMessage="false" sqref="L6" type="list">
      <formula1>"0,1"</formula1>
      <formula2>0</formula2>
    </dataValidation>
    <dataValidation allowBlank="true" errorStyle="stop" operator="between" showDropDown="false" showErrorMessage="false" showInputMessage="false" sqref="M6" type="list">
      <formula1>"0,1"</formula1>
      <formula2>0</formula2>
    </dataValidation>
    <dataValidation allowBlank="true" errorStyle="stop" operator="between" showDropDown="false" showErrorMessage="false" showInputMessage="false" sqref="N6" type="list">
      <formula1>"0,1"</formula1>
      <formula2>0</formula2>
    </dataValidation>
    <dataValidation allowBlank="true" errorStyle="stop" operator="between" showDropDown="false" showErrorMessage="false" showInputMessage="false" sqref="O6" type="list">
      <formula1>"0,1"</formula1>
      <formula2>0</formula2>
    </dataValidation>
    <dataValidation allowBlank="true" errorStyle="stop" operator="between" showDropDown="false" showErrorMessage="false" showInputMessage="false" sqref="P6" type="list">
      <formula1>"0,1"</formula1>
      <formula2>0</formula2>
    </dataValidation>
    <dataValidation allowBlank="true" errorStyle="stop" operator="between" showDropDown="false" showErrorMessage="false" showInputMessage="false" sqref="Q6" type="list">
      <formula1>"0,1"</formula1>
      <formula2>0</formula2>
    </dataValidation>
    <dataValidation allowBlank="true" errorStyle="stop" operator="between" showDropDown="false" showErrorMessage="false" showInputMessage="false" sqref="R6" type="list">
      <formula1>"0,1"</formula1>
      <formula2>0</formula2>
    </dataValidation>
    <dataValidation allowBlank="true" errorStyle="stop" operator="between" showDropDown="false" showErrorMessage="false" showInputMessage="false" sqref="S6" type="list">
      <formula1>"0,1"</formula1>
      <formula2>0</formula2>
    </dataValidation>
    <dataValidation allowBlank="true" errorStyle="stop" operator="between" showDropDown="false" showErrorMessage="false" showInputMessage="false" sqref="T6" type="list">
      <formula1>"0,1"</formula1>
      <formula2>0</formula2>
    </dataValidation>
    <dataValidation allowBlank="true" errorStyle="stop" operator="between" showDropDown="false" showErrorMessage="false" showInputMessage="false" sqref="U6" type="list">
      <formula1>"0,1"</formula1>
      <formula2>0</formula2>
    </dataValidation>
    <dataValidation allowBlank="true" errorStyle="stop" operator="between" showDropDown="false" showErrorMessage="false" showInputMessage="false" sqref="V6" type="list">
      <formula1>"0,1"</formula1>
      <formula2>0</formula2>
    </dataValidation>
    <dataValidation allowBlank="true" errorStyle="stop" operator="between" showDropDown="false" showErrorMessage="false" showInputMessage="false" sqref="W6" type="list">
      <formula1>"0,1"</formula1>
      <formula2>0</formula2>
    </dataValidation>
    <dataValidation allowBlank="true" errorStyle="stop" operator="between" showDropDown="false" showErrorMessage="false" showInputMessage="false" sqref="X6" type="list">
      <formula1>"0,1"</formula1>
      <formula2>0</formula2>
    </dataValidation>
    <dataValidation allowBlank="true" errorStyle="stop" operator="between" showDropDown="false" showErrorMessage="false" showInputMessage="false" sqref="Y6" type="list">
      <formula1>"0,1"</formula1>
      <formula2>0</formula2>
    </dataValidation>
    <dataValidation allowBlank="true" errorStyle="stop" operator="between" showDropDown="false" showErrorMessage="false" showInputMessage="false" sqref="Z6" type="list">
      <formula1>"0,1"</formula1>
      <formula2>0</formula2>
    </dataValidation>
    <dataValidation allowBlank="true" errorStyle="stop" operator="between" showDropDown="false" showErrorMessage="false" showInputMessage="false" sqref="AA6" type="list">
      <formula1>"0,1"</formula1>
      <formula2>0</formula2>
    </dataValidation>
    <dataValidation allowBlank="true" errorStyle="stop" operator="between" showDropDown="false" showErrorMessage="false" showInputMessage="false" sqref="AB6" type="list">
      <formula1>"0,1"</formula1>
      <formula2>0</formula2>
    </dataValidation>
    <dataValidation allowBlank="true" errorStyle="stop" operator="between" showDropDown="false" showErrorMessage="false" showInputMessage="false" sqref="AC6" type="list">
      <formula1>"0,1"</formula1>
      <formula2>0</formula2>
    </dataValidation>
    <dataValidation allowBlank="true" errorStyle="stop" operator="between" showDropDown="false" showErrorMessage="false" showInputMessage="false" sqref="AD6" type="list">
      <formula1>"0,1"</formula1>
      <formula2>0</formula2>
    </dataValidation>
    <dataValidation allowBlank="true" errorStyle="stop" operator="between" showDropDown="false" showErrorMessage="false" showInputMessage="false" sqref="AE6" type="list">
      <formula1>"0,1"</formula1>
      <formula2>0</formula2>
    </dataValidation>
    <dataValidation allowBlank="true" errorStyle="stop" operator="between" showDropDown="false" showErrorMessage="false" showInputMessage="false" sqref="B7" type="list">
      <formula1>"0,1"</formula1>
      <formula2>0</formula2>
    </dataValidation>
    <dataValidation allowBlank="true" errorStyle="stop" operator="between" showDropDown="false" showErrorMessage="false" showInputMessage="false" sqref="C7" type="list">
      <formula1>"0,1"</formula1>
      <formula2>0</formula2>
    </dataValidation>
    <dataValidation allowBlank="true" errorStyle="stop" operator="between" showDropDown="false" showErrorMessage="false" showInputMessage="false" sqref="D7" type="list">
      <formula1>"0,1"</formula1>
      <formula2>0</formula2>
    </dataValidation>
    <dataValidation allowBlank="true" errorStyle="stop" operator="between" showDropDown="false" showErrorMessage="false" showInputMessage="false" sqref="E7" type="list">
      <formula1>"0,1"</formula1>
      <formula2>0</formula2>
    </dataValidation>
    <dataValidation allowBlank="true" errorStyle="stop" operator="between" showDropDown="false" showErrorMessage="false" showInputMessage="false" sqref="F7" type="list">
      <formula1>"0,1"</formula1>
      <formula2>0</formula2>
    </dataValidation>
    <dataValidation allowBlank="true" errorStyle="stop" operator="between" showDropDown="false" showErrorMessage="false" showInputMessage="false" sqref="G7" type="list">
      <formula1>"0,1"</formula1>
      <formula2>0</formula2>
    </dataValidation>
    <dataValidation allowBlank="true" errorStyle="stop" operator="between" showDropDown="false" showErrorMessage="false" showInputMessage="false" sqref="H7" type="list">
      <formula1>"0,1"</formula1>
      <formula2>0</formula2>
    </dataValidation>
    <dataValidation allowBlank="true" errorStyle="stop" operator="between" showDropDown="false" showErrorMessage="false" showInputMessage="false" sqref="I7" type="list">
      <formula1>"0,1"</formula1>
      <formula2>0</formula2>
    </dataValidation>
    <dataValidation allowBlank="true" errorStyle="stop" operator="between" showDropDown="false" showErrorMessage="false" showInputMessage="false" sqref="J7" type="list">
      <formula1>"0,1"</formula1>
      <formula2>0</formula2>
    </dataValidation>
    <dataValidation allowBlank="true" errorStyle="stop" operator="between" showDropDown="false" showErrorMessage="false" showInputMessage="false" sqref="K7" type="list">
      <formula1>"0,1"</formula1>
      <formula2>0</formula2>
    </dataValidation>
    <dataValidation allowBlank="true" errorStyle="stop" operator="between" showDropDown="false" showErrorMessage="false" showInputMessage="false" sqref="L7" type="list">
      <formula1>"0,1"</formula1>
      <formula2>0</formula2>
    </dataValidation>
    <dataValidation allowBlank="true" errorStyle="stop" operator="between" showDropDown="false" showErrorMessage="false" showInputMessage="false" sqref="M7" type="list">
      <formula1>"0,1"</formula1>
      <formula2>0</formula2>
    </dataValidation>
    <dataValidation allowBlank="true" errorStyle="stop" operator="between" showDropDown="false" showErrorMessage="false" showInputMessage="false" sqref="N7" type="list">
      <formula1>"0,1"</formula1>
      <formula2>0</formula2>
    </dataValidation>
    <dataValidation allowBlank="true" errorStyle="stop" operator="between" showDropDown="false" showErrorMessage="false" showInputMessage="false" sqref="O7" type="list">
      <formula1>"0,1"</formula1>
      <formula2>0</formula2>
    </dataValidation>
    <dataValidation allowBlank="true" errorStyle="stop" operator="between" showDropDown="false" showErrorMessage="false" showInputMessage="false" sqref="P7" type="list">
      <formula1>"0,1"</formula1>
      <formula2>0</formula2>
    </dataValidation>
    <dataValidation allowBlank="true" errorStyle="stop" operator="between" showDropDown="false" showErrorMessage="false" showInputMessage="false" sqref="Q7" type="list">
      <formula1>"0,1"</formula1>
      <formula2>0</formula2>
    </dataValidation>
    <dataValidation allowBlank="true" errorStyle="stop" operator="between" showDropDown="false" showErrorMessage="false" showInputMessage="false" sqref="R7" type="list">
      <formula1>"0,1"</formula1>
      <formula2>0</formula2>
    </dataValidation>
    <dataValidation allowBlank="true" errorStyle="stop" operator="between" showDropDown="false" showErrorMessage="false" showInputMessage="false" sqref="S7" type="list">
      <formula1>"0,1"</formula1>
      <formula2>0</formula2>
    </dataValidation>
    <dataValidation allowBlank="true" errorStyle="stop" operator="between" showDropDown="false" showErrorMessage="false" showInputMessage="false" sqref="T7" type="list">
      <formula1>"0,1"</formula1>
      <formula2>0</formula2>
    </dataValidation>
    <dataValidation allowBlank="true" errorStyle="stop" operator="between" showDropDown="false" showErrorMessage="false" showInputMessage="false" sqref="U7" type="list">
      <formula1>"0,1"</formula1>
      <formula2>0</formula2>
    </dataValidation>
    <dataValidation allowBlank="true" errorStyle="stop" operator="between" showDropDown="false" showErrorMessage="false" showInputMessage="false" sqref="V7" type="list">
      <formula1>"0,1"</formula1>
      <formula2>0</formula2>
    </dataValidation>
    <dataValidation allowBlank="true" errorStyle="stop" operator="between" showDropDown="false" showErrorMessage="false" showInputMessage="false" sqref="W7" type="list">
      <formula1>"0,1"</formula1>
      <formula2>0</formula2>
    </dataValidation>
    <dataValidation allowBlank="true" errorStyle="stop" operator="between" showDropDown="false" showErrorMessage="false" showInputMessage="false" sqref="X7" type="list">
      <formula1>"0,1"</formula1>
      <formula2>0</formula2>
    </dataValidation>
    <dataValidation allowBlank="true" errorStyle="stop" operator="between" showDropDown="false" showErrorMessage="false" showInputMessage="false" sqref="Y7" type="list">
      <formula1>"0,1"</formula1>
      <formula2>0</formula2>
    </dataValidation>
    <dataValidation allowBlank="true" errorStyle="stop" operator="between" showDropDown="false" showErrorMessage="false" showInputMessage="false" sqref="Z7" type="list">
      <formula1>"0,1"</formula1>
      <formula2>0</formula2>
    </dataValidation>
    <dataValidation allowBlank="true" errorStyle="stop" operator="between" showDropDown="false" showErrorMessage="false" showInputMessage="false" sqref="AA7" type="list">
      <formula1>"0,1"</formula1>
      <formula2>0</formula2>
    </dataValidation>
    <dataValidation allowBlank="true" errorStyle="stop" operator="between" showDropDown="false" showErrorMessage="false" showInputMessage="false" sqref="AB7" type="list">
      <formula1>"0,1"</formula1>
      <formula2>0</formula2>
    </dataValidation>
    <dataValidation allowBlank="true" errorStyle="stop" operator="between" showDropDown="false" showErrorMessage="false" showInputMessage="false" sqref="AC7" type="list">
      <formula1>"0,1"</formula1>
      <formula2>0</formula2>
    </dataValidation>
    <dataValidation allowBlank="true" errorStyle="stop" operator="between" showDropDown="false" showErrorMessage="false" showInputMessage="false" sqref="AD7" type="list">
      <formula1>"0,1"</formula1>
      <formula2>0</formula2>
    </dataValidation>
    <dataValidation allowBlank="true" errorStyle="stop" operator="between" showDropDown="false" showErrorMessage="false" showInputMessage="false" sqref="AE7" type="list">
      <formula1>"0,1"</formula1>
      <formula2>0</formula2>
    </dataValidation>
    <dataValidation allowBlank="true" errorStyle="stop" operator="between" showDropDown="false" showErrorMessage="false" showInputMessage="false" sqref="B8" type="list">
      <formula1>"0,1"</formula1>
      <formula2>0</formula2>
    </dataValidation>
    <dataValidation allowBlank="true" errorStyle="stop" operator="between" showDropDown="false" showErrorMessage="false" showInputMessage="false" sqref="C8" type="list">
      <formula1>"0,1"</formula1>
      <formula2>0</formula2>
    </dataValidation>
    <dataValidation allowBlank="true" errorStyle="stop" operator="between" showDropDown="false" showErrorMessage="false" showInputMessage="false" sqref="D8" type="list">
      <formula1>"0,1"</formula1>
      <formula2>0</formula2>
    </dataValidation>
    <dataValidation allowBlank="true" errorStyle="stop" operator="between" showDropDown="false" showErrorMessage="false" showInputMessage="false" sqref="E8" type="list">
      <formula1>"0,1"</formula1>
      <formula2>0</formula2>
    </dataValidation>
    <dataValidation allowBlank="true" errorStyle="stop" operator="between" showDropDown="false" showErrorMessage="false" showInputMessage="false" sqref="F8" type="list">
      <formula1>"0,1"</formula1>
      <formula2>0</formula2>
    </dataValidation>
    <dataValidation allowBlank="true" errorStyle="stop" operator="between" showDropDown="false" showErrorMessage="false" showInputMessage="false" sqref="G8" type="list">
      <formula1>"0,1"</formula1>
      <formula2>0</formula2>
    </dataValidation>
    <dataValidation allowBlank="true" errorStyle="stop" operator="between" showDropDown="false" showErrorMessage="false" showInputMessage="false" sqref="H8" type="list">
      <formula1>"0,1"</formula1>
      <formula2>0</formula2>
    </dataValidation>
    <dataValidation allowBlank="true" errorStyle="stop" operator="between" showDropDown="false" showErrorMessage="false" showInputMessage="false" sqref="I8" type="list">
      <formula1>"0,1"</formula1>
      <formula2>0</formula2>
    </dataValidation>
    <dataValidation allowBlank="true" errorStyle="stop" operator="between" showDropDown="false" showErrorMessage="false" showInputMessage="false" sqref="J8" type="list">
      <formula1>"0,1"</formula1>
      <formula2>0</formula2>
    </dataValidation>
    <dataValidation allowBlank="true" errorStyle="stop" operator="between" showDropDown="false" showErrorMessage="false" showInputMessage="false" sqref="K8" type="list">
      <formula1>"0,1"</formula1>
      <formula2>0</formula2>
    </dataValidation>
    <dataValidation allowBlank="true" errorStyle="stop" operator="between" showDropDown="false" showErrorMessage="false" showInputMessage="false" sqref="L8" type="list">
      <formula1>"0,1"</formula1>
      <formula2>0</formula2>
    </dataValidation>
    <dataValidation allowBlank="true" errorStyle="stop" operator="between" showDropDown="false" showErrorMessage="false" showInputMessage="false" sqref="M8" type="list">
      <formula1>"0,1"</formula1>
      <formula2>0</formula2>
    </dataValidation>
    <dataValidation allowBlank="true" errorStyle="stop" operator="between" showDropDown="false" showErrorMessage="false" showInputMessage="false" sqref="N8" type="list">
      <formula1>"0,1"</formula1>
      <formula2>0</formula2>
    </dataValidation>
    <dataValidation allowBlank="true" errorStyle="stop" operator="between" showDropDown="false" showErrorMessage="false" showInputMessage="false" sqref="O8" type="list">
      <formula1>"0,1"</formula1>
      <formula2>0</formula2>
    </dataValidation>
    <dataValidation allowBlank="true" errorStyle="stop" operator="between" showDropDown="false" showErrorMessage="false" showInputMessage="false" sqref="P8" type="list">
      <formula1>"0,1"</formula1>
      <formula2>0</formula2>
    </dataValidation>
    <dataValidation allowBlank="true" errorStyle="stop" operator="between" showDropDown="false" showErrorMessage="false" showInputMessage="false" sqref="Q8" type="list">
      <formula1>"0,1"</formula1>
      <formula2>0</formula2>
    </dataValidation>
    <dataValidation allowBlank="true" errorStyle="stop" operator="between" showDropDown="false" showErrorMessage="false" showInputMessage="false" sqref="R8" type="list">
      <formula1>"0,1"</formula1>
      <formula2>0</formula2>
    </dataValidation>
    <dataValidation allowBlank="true" errorStyle="stop" operator="between" showDropDown="false" showErrorMessage="false" showInputMessage="false" sqref="S8" type="list">
      <formula1>"0,1"</formula1>
      <formula2>0</formula2>
    </dataValidation>
    <dataValidation allowBlank="true" errorStyle="stop" operator="between" showDropDown="false" showErrorMessage="false" showInputMessage="false" sqref="T8" type="list">
      <formula1>"0,1"</formula1>
      <formula2>0</formula2>
    </dataValidation>
    <dataValidation allowBlank="true" errorStyle="stop" operator="between" showDropDown="false" showErrorMessage="false" showInputMessage="false" sqref="U8" type="list">
      <formula1>"0,1"</formula1>
      <formula2>0</formula2>
    </dataValidation>
    <dataValidation allowBlank="true" errorStyle="stop" operator="between" showDropDown="false" showErrorMessage="false" showInputMessage="false" sqref="V8" type="list">
      <formula1>"0,1"</formula1>
      <formula2>0</formula2>
    </dataValidation>
    <dataValidation allowBlank="true" errorStyle="stop" operator="between" showDropDown="false" showErrorMessage="false" showInputMessage="false" sqref="W8" type="list">
      <formula1>"0,1"</formula1>
      <formula2>0</formula2>
    </dataValidation>
    <dataValidation allowBlank="true" errorStyle="stop" operator="between" showDropDown="false" showErrorMessage="false" showInputMessage="false" sqref="X8" type="list">
      <formula1>"0,1"</formula1>
      <formula2>0</formula2>
    </dataValidation>
    <dataValidation allowBlank="true" errorStyle="stop" operator="between" showDropDown="false" showErrorMessage="false" showInputMessage="false" sqref="Y8" type="list">
      <formula1>"0,1"</formula1>
      <formula2>0</formula2>
    </dataValidation>
    <dataValidation allowBlank="true" errorStyle="stop" operator="between" showDropDown="false" showErrorMessage="false" showInputMessage="false" sqref="Z8" type="list">
      <formula1>"0,1"</formula1>
      <formula2>0</formula2>
    </dataValidation>
    <dataValidation allowBlank="true" errorStyle="stop" operator="between" showDropDown="false" showErrorMessage="false" showInputMessage="false" sqref="AA8" type="list">
      <formula1>"0,1"</formula1>
      <formula2>0</formula2>
    </dataValidation>
    <dataValidation allowBlank="true" errorStyle="stop" operator="between" showDropDown="false" showErrorMessage="false" showInputMessage="false" sqref="AB8" type="list">
      <formula1>"0,1"</formula1>
      <formula2>0</formula2>
    </dataValidation>
    <dataValidation allowBlank="true" errorStyle="stop" operator="between" showDropDown="false" showErrorMessage="false" showInputMessage="false" sqref="AC8" type="list">
      <formula1>"0,1"</formula1>
      <formula2>0</formula2>
    </dataValidation>
    <dataValidation allowBlank="true" errorStyle="stop" operator="between" showDropDown="false" showErrorMessage="false" showInputMessage="false" sqref="AD8" type="list">
      <formula1>"0,1"</formula1>
      <formula2>0</formula2>
    </dataValidation>
    <dataValidation allowBlank="true" errorStyle="stop" operator="between" showDropDown="false" showErrorMessage="false" showInputMessage="false" sqref="AE8" type="list">
      <formula1>"0,1"</formula1>
      <formula2>0</formula2>
    </dataValidation>
    <dataValidation allowBlank="true" errorStyle="stop" operator="between" showDropDown="false" showErrorMessage="false" showInputMessage="false" sqref="B9" type="list">
      <formula1>"0,1"</formula1>
      <formula2>0</formula2>
    </dataValidation>
    <dataValidation allowBlank="true" errorStyle="stop" operator="between" showDropDown="false" showErrorMessage="false" showInputMessage="false" sqref="C9" type="list">
      <formula1>"0,1"</formula1>
      <formula2>0</formula2>
    </dataValidation>
    <dataValidation allowBlank="true" errorStyle="stop" operator="between" showDropDown="false" showErrorMessage="false" showInputMessage="false" sqref="D9" type="list">
      <formula1>"0,1"</formula1>
      <formula2>0</formula2>
    </dataValidation>
    <dataValidation allowBlank="true" errorStyle="stop" operator="between" showDropDown="false" showErrorMessage="false" showInputMessage="false" sqref="E9" type="list">
      <formula1>"0,1"</formula1>
      <formula2>0</formula2>
    </dataValidation>
    <dataValidation allowBlank="true" errorStyle="stop" operator="between" showDropDown="false" showErrorMessage="false" showInputMessage="false" sqref="F9" type="list">
      <formula1>"0,1"</formula1>
      <formula2>0</formula2>
    </dataValidation>
    <dataValidation allowBlank="true" errorStyle="stop" operator="between" showDropDown="false" showErrorMessage="false" showInputMessage="false" sqref="G9" type="list">
      <formula1>"0,1"</formula1>
      <formula2>0</formula2>
    </dataValidation>
    <dataValidation allowBlank="true" errorStyle="stop" operator="between" showDropDown="false" showErrorMessage="false" showInputMessage="false" sqref="H9" type="list">
      <formula1>"0,1"</formula1>
      <formula2>0</formula2>
    </dataValidation>
    <dataValidation allowBlank="true" errorStyle="stop" operator="between" showDropDown="false" showErrorMessage="false" showInputMessage="false" sqref="I9" type="list">
      <formula1>"0,1"</formula1>
      <formula2>0</formula2>
    </dataValidation>
    <dataValidation allowBlank="true" errorStyle="stop" operator="between" showDropDown="false" showErrorMessage="false" showInputMessage="false" sqref="J9" type="list">
      <formula1>"0,1"</formula1>
      <formula2>0</formula2>
    </dataValidation>
    <dataValidation allowBlank="true" errorStyle="stop" operator="between" showDropDown="false" showErrorMessage="false" showInputMessage="false" sqref="K9" type="list">
      <formula1>"0,1"</formula1>
      <formula2>0</formula2>
    </dataValidation>
    <dataValidation allowBlank="true" errorStyle="stop" operator="between" showDropDown="false" showErrorMessage="false" showInputMessage="false" sqref="L9" type="list">
      <formula1>"0,1"</formula1>
      <formula2>0</formula2>
    </dataValidation>
    <dataValidation allowBlank="true" errorStyle="stop" operator="between" showDropDown="false" showErrorMessage="false" showInputMessage="false" sqref="M9" type="list">
      <formula1>"0,1"</formula1>
      <formula2>0</formula2>
    </dataValidation>
    <dataValidation allowBlank="true" errorStyle="stop" operator="between" showDropDown="false" showErrorMessage="false" showInputMessage="false" sqref="N9" type="list">
      <formula1>"0,1"</formula1>
      <formula2>0</formula2>
    </dataValidation>
    <dataValidation allowBlank="true" errorStyle="stop" operator="between" showDropDown="false" showErrorMessage="false" showInputMessage="false" sqref="O9" type="list">
      <formula1>"0,1"</formula1>
      <formula2>0</formula2>
    </dataValidation>
    <dataValidation allowBlank="true" errorStyle="stop" operator="between" showDropDown="false" showErrorMessage="false" showInputMessage="false" sqref="P9" type="list">
      <formula1>"0,1"</formula1>
      <formula2>0</formula2>
    </dataValidation>
    <dataValidation allowBlank="true" errorStyle="stop" operator="between" showDropDown="false" showErrorMessage="false" showInputMessage="false" sqref="Q9" type="list">
      <formula1>"0,1"</formula1>
      <formula2>0</formula2>
    </dataValidation>
    <dataValidation allowBlank="true" errorStyle="stop" operator="between" showDropDown="false" showErrorMessage="false" showInputMessage="false" sqref="R9" type="list">
      <formula1>"0,1"</formula1>
      <formula2>0</formula2>
    </dataValidation>
    <dataValidation allowBlank="true" errorStyle="stop" operator="between" showDropDown="false" showErrorMessage="false" showInputMessage="false" sqref="S9" type="list">
      <formula1>"0,1"</formula1>
      <formula2>0</formula2>
    </dataValidation>
    <dataValidation allowBlank="true" errorStyle="stop" operator="between" showDropDown="false" showErrorMessage="false" showInputMessage="false" sqref="T9" type="list">
      <formula1>"0,1"</formula1>
      <formula2>0</formula2>
    </dataValidation>
    <dataValidation allowBlank="true" errorStyle="stop" operator="between" showDropDown="false" showErrorMessage="false" showInputMessage="false" sqref="U9" type="list">
      <formula1>"0,1"</formula1>
      <formula2>0</formula2>
    </dataValidation>
    <dataValidation allowBlank="true" errorStyle="stop" operator="between" showDropDown="false" showErrorMessage="false" showInputMessage="false" sqref="V9" type="list">
      <formula1>"0,1"</formula1>
      <formula2>0</formula2>
    </dataValidation>
    <dataValidation allowBlank="true" errorStyle="stop" operator="between" showDropDown="false" showErrorMessage="false" showInputMessage="false" sqref="W9" type="list">
      <formula1>"0,1"</formula1>
      <formula2>0</formula2>
    </dataValidation>
    <dataValidation allowBlank="true" errorStyle="stop" operator="between" showDropDown="false" showErrorMessage="false" showInputMessage="false" sqref="X9" type="list">
      <formula1>"0,1"</formula1>
      <formula2>0</formula2>
    </dataValidation>
    <dataValidation allowBlank="true" errorStyle="stop" operator="between" showDropDown="false" showErrorMessage="false" showInputMessage="false" sqref="Y9" type="list">
      <formula1>"0,1"</formula1>
      <formula2>0</formula2>
    </dataValidation>
    <dataValidation allowBlank="true" errorStyle="stop" operator="between" showDropDown="false" showErrorMessage="false" showInputMessage="false" sqref="Z9" type="list">
      <formula1>"0,1"</formula1>
      <formula2>0</formula2>
    </dataValidation>
    <dataValidation allowBlank="true" errorStyle="stop" operator="between" showDropDown="false" showErrorMessage="false" showInputMessage="false" sqref="AA9" type="list">
      <formula1>"0,1"</formula1>
      <formula2>0</formula2>
    </dataValidation>
    <dataValidation allowBlank="true" errorStyle="stop" operator="between" showDropDown="false" showErrorMessage="false" showInputMessage="false" sqref="AB9" type="list">
      <formula1>"0,1"</formula1>
      <formula2>0</formula2>
    </dataValidation>
    <dataValidation allowBlank="true" errorStyle="stop" operator="between" showDropDown="false" showErrorMessage="false" showInputMessage="false" sqref="AC9" type="list">
      <formula1>"0,1"</formula1>
      <formula2>0</formula2>
    </dataValidation>
    <dataValidation allowBlank="true" errorStyle="stop" operator="between" showDropDown="false" showErrorMessage="false" showInputMessage="false" sqref="AD9" type="list">
      <formula1>"0,1"</formula1>
      <formula2>0</formula2>
    </dataValidation>
    <dataValidation allowBlank="true" errorStyle="stop" operator="between" showDropDown="false" showErrorMessage="false" showInputMessage="false" sqref="AE9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2"/>
    <col collapsed="false" customWidth="true" hidden="false" outlineLevel="0" max="7" min="6" style="0" width="14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195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196</v>
      </c>
      <c r="B4" s="3" t="s">
        <v>197</v>
      </c>
      <c r="C4" s="3" t="s">
        <v>198</v>
      </c>
      <c r="D4" s="3" t="s">
        <v>199</v>
      </c>
      <c r="E4" s="3" t="s">
        <v>200</v>
      </c>
      <c r="F4" s="3" t="s">
        <v>201</v>
      </c>
      <c r="G4" s="3" t="s">
        <v>202</v>
      </c>
    </row>
    <row r="5" customFormat="false" ht="15" hidden="false" customHeight="false" outlineLevel="0" collapsed="false">
      <c r="A5" s="4" t="s">
        <v>203</v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15" t="n">
        <f aca="false">IFERROR(E5/F5,0)</f>
        <v>0</v>
      </c>
    </row>
    <row r="6" customFormat="false" ht="15" hidden="false" customHeight="false" outlineLevel="0" collapsed="false">
      <c r="A6" s="4" t="s">
        <v>204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15" t="n">
        <f aca="false">IFERROR(E6/F6,0)</f>
        <v>0</v>
      </c>
    </row>
    <row r="7" customFormat="false" ht="15" hidden="false" customHeight="false" outlineLevel="0" collapsed="false">
      <c r="A7" s="4" t="s">
        <v>205</v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15" t="n">
        <f aca="false">IFERROR(E7/F7,0)</f>
        <v>0</v>
      </c>
    </row>
    <row r="8" customFormat="false" ht="15" hidden="false" customHeight="false" outlineLevel="0" collapsed="false">
      <c r="A8" s="4" t="s">
        <v>206</v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15" t="n">
        <f aca="false">IFERROR(E8/F8,0)</f>
        <v>0</v>
      </c>
    </row>
    <row r="9" customFormat="false" ht="15" hidden="false" customHeight="false" outlineLevel="0" collapsed="false">
      <c r="A9" s="4" t="s">
        <v>207</v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15" t="n">
        <f aca="false">IFERROR(E9/F9,0)</f>
        <v>0</v>
      </c>
    </row>
    <row r="11" customFormat="false" ht="15" hidden="false" customHeight="false" outlineLevel="0" collapsed="false">
      <c r="A11" s="8" t="s">
        <v>62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208</v>
      </c>
      <c r="B1" s="1"/>
    </row>
    <row r="2" customFormat="false" ht="18" hidden="false" customHeight="true" outlineLevel="0" collapsed="false">
      <c r="A2" s="2" t="s">
        <v>209</v>
      </c>
      <c r="B2" s="2"/>
    </row>
    <row r="4" customFormat="false" ht="21.75" hidden="false" customHeight="true" outlineLevel="0" collapsed="false">
      <c r="A4" s="3" t="s">
        <v>210</v>
      </c>
      <c r="B4" s="3" t="s">
        <v>55</v>
      </c>
    </row>
    <row r="5" customFormat="false" ht="30" hidden="false" customHeight="true" outlineLevel="0" collapsed="false">
      <c r="A5" s="6" t="s">
        <v>211</v>
      </c>
      <c r="B5" s="7"/>
    </row>
    <row r="6" customFormat="false" ht="30" hidden="false" customHeight="true" outlineLevel="0" collapsed="false">
      <c r="A6" s="6" t="s">
        <v>212</v>
      </c>
      <c r="B6" s="7"/>
    </row>
    <row r="7" customFormat="false" ht="30" hidden="false" customHeight="true" outlineLevel="0" collapsed="false">
      <c r="A7" s="6" t="s">
        <v>213</v>
      </c>
      <c r="B7" s="7"/>
    </row>
    <row r="8" customFormat="false" ht="30" hidden="false" customHeight="true" outlineLevel="0" collapsed="false">
      <c r="A8" s="6" t="s">
        <v>214</v>
      </c>
      <c r="B8" s="7"/>
    </row>
    <row r="9" customFormat="false" ht="30" hidden="false" customHeight="true" outlineLevel="0" collapsed="false">
      <c r="A9" s="6" t="s">
        <v>215</v>
      </c>
      <c r="B9" s="7"/>
    </row>
    <row r="10" customFormat="false" ht="30" hidden="false" customHeight="true" outlineLevel="0" collapsed="false">
      <c r="A10" s="6" t="s">
        <v>216</v>
      </c>
      <c r="B10" s="7"/>
    </row>
    <row r="12" customFormat="false" ht="15" hidden="false" customHeight="false" outlineLevel="0" collapsed="false">
      <c r="A12" s="8" t="s">
        <v>62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" t="s">
        <v>217</v>
      </c>
      <c r="B1" s="1"/>
      <c r="C1" s="1"/>
      <c r="D1" s="1"/>
    </row>
    <row r="2" customFormat="false" ht="18" hidden="false" customHeight="true" outlineLevel="0" collapsed="false">
      <c r="A2" s="2" t="s">
        <v>218</v>
      </c>
      <c r="B2" s="2"/>
      <c r="C2" s="2"/>
      <c r="D2" s="2"/>
    </row>
    <row r="4" customFormat="false" ht="21.75" hidden="false" customHeight="true" outlineLevel="0" collapsed="false">
      <c r="A4" s="3" t="s">
        <v>219</v>
      </c>
      <c r="B4" s="3" t="s">
        <v>220</v>
      </c>
      <c r="C4" s="3" t="s">
        <v>221</v>
      </c>
      <c r="D4" s="3" t="s">
        <v>222</v>
      </c>
    </row>
    <row r="5" customFormat="false" ht="15" hidden="false" customHeight="false" outlineLevel="0" collapsed="false">
      <c r="A5" s="4" t="n">
        <v>1</v>
      </c>
      <c r="B5" s="4" t="s">
        <v>223</v>
      </c>
      <c r="C5" s="25" t="n">
        <v>0</v>
      </c>
      <c r="D5" s="7"/>
    </row>
    <row r="6" customFormat="false" ht="15" hidden="false" customHeight="false" outlineLevel="0" collapsed="false">
      <c r="A6" s="4" t="n">
        <v>2</v>
      </c>
      <c r="B6" s="4" t="s">
        <v>224</v>
      </c>
      <c r="C6" s="25" t="n">
        <v>0</v>
      </c>
      <c r="D6" s="7"/>
    </row>
    <row r="7" customFormat="false" ht="15" hidden="false" customHeight="false" outlineLevel="0" collapsed="false">
      <c r="A7" s="4" t="n">
        <v>3</v>
      </c>
      <c r="B7" s="4" t="s">
        <v>225</v>
      </c>
      <c r="C7" s="25" t="n">
        <v>0</v>
      </c>
      <c r="D7" s="7"/>
    </row>
    <row r="8" customFormat="false" ht="15" hidden="false" customHeight="false" outlineLevel="0" collapsed="false">
      <c r="A8" s="4" t="n">
        <v>4</v>
      </c>
      <c r="B8" s="4" t="s">
        <v>226</v>
      </c>
      <c r="C8" s="25" t="n">
        <v>0</v>
      </c>
      <c r="D8" s="7"/>
    </row>
    <row r="9" customFormat="false" ht="15" hidden="false" customHeight="false" outlineLevel="0" collapsed="false">
      <c r="A9" s="4" t="n">
        <v>5</v>
      </c>
      <c r="B9" s="4" t="s">
        <v>227</v>
      </c>
      <c r="C9" s="25" t="n">
        <v>0</v>
      </c>
      <c r="D9" s="7"/>
    </row>
    <row r="10" customFormat="false" ht="15" hidden="false" customHeight="false" outlineLevel="0" collapsed="false">
      <c r="A10" s="4" t="n">
        <v>6</v>
      </c>
      <c r="B10" s="4" t="s">
        <v>228</v>
      </c>
      <c r="C10" s="25" t="n">
        <v>0</v>
      </c>
      <c r="D10" s="7"/>
    </row>
    <row r="11" customFormat="false" ht="15" hidden="false" customHeight="false" outlineLevel="0" collapsed="false">
      <c r="A11" s="4" t="n">
        <v>7</v>
      </c>
      <c r="B11" s="4" t="s">
        <v>229</v>
      </c>
      <c r="C11" s="25" t="n">
        <v>0</v>
      </c>
      <c r="D11" s="7"/>
    </row>
    <row r="12" customFormat="false" ht="15" hidden="false" customHeight="false" outlineLevel="0" collapsed="false">
      <c r="A12" s="4" t="n">
        <v>8</v>
      </c>
      <c r="B12" s="4" t="s">
        <v>230</v>
      </c>
      <c r="C12" s="25" t="n">
        <v>0</v>
      </c>
      <c r="D12" s="7"/>
    </row>
    <row r="13" customFormat="false" ht="15" hidden="false" customHeight="false" outlineLevel="0" collapsed="false">
      <c r="A13" s="4" t="n">
        <v>9</v>
      </c>
      <c r="B13" s="4" t="s">
        <v>231</v>
      </c>
      <c r="C13" s="25" t="n">
        <v>0</v>
      </c>
      <c r="D13" s="7"/>
    </row>
    <row r="14" customFormat="false" ht="15" hidden="false" customHeight="false" outlineLevel="0" collapsed="false">
      <c r="A14" s="4" t="n">
        <v>10</v>
      </c>
      <c r="B14" s="4" t="s">
        <v>232</v>
      </c>
      <c r="C14" s="25" t="n">
        <v>0</v>
      </c>
      <c r="D14" s="7"/>
    </row>
    <row r="15" customFormat="false" ht="15" hidden="false" customHeight="false" outlineLevel="0" collapsed="false">
      <c r="A15" s="4" t="n">
        <v>11</v>
      </c>
      <c r="B15" s="4" t="s">
        <v>233</v>
      </c>
      <c r="C15" s="25" t="n">
        <v>0</v>
      </c>
      <c r="D15" s="7"/>
    </row>
    <row r="16" customFormat="false" ht="15" hidden="false" customHeight="false" outlineLevel="0" collapsed="false">
      <c r="A16" s="4" t="n">
        <v>12</v>
      </c>
      <c r="B16" s="4" t="s">
        <v>234</v>
      </c>
      <c r="C16" s="25" t="n">
        <v>0</v>
      </c>
      <c r="D16" s="7"/>
    </row>
    <row r="17" customFormat="false" ht="15" hidden="false" customHeight="false" outlineLevel="0" collapsed="false">
      <c r="A17" s="4" t="n">
        <v>13</v>
      </c>
      <c r="B17" s="4" t="s">
        <v>235</v>
      </c>
      <c r="C17" s="25" t="n">
        <v>0</v>
      </c>
      <c r="D17" s="7"/>
    </row>
    <row r="18" customFormat="false" ht="15" hidden="false" customHeight="false" outlineLevel="0" collapsed="false">
      <c r="A18" s="4" t="n">
        <v>14</v>
      </c>
      <c r="B18" s="4" t="s">
        <v>236</v>
      </c>
      <c r="C18" s="25" t="n">
        <v>0</v>
      </c>
      <c r="D18" s="7"/>
    </row>
    <row r="19" customFormat="false" ht="15" hidden="false" customHeight="false" outlineLevel="0" collapsed="false">
      <c r="A19" s="4" t="n">
        <v>15</v>
      </c>
      <c r="B19" s="4" t="s">
        <v>237</v>
      </c>
      <c r="C19" s="25" t="n">
        <v>0</v>
      </c>
      <c r="D19" s="7"/>
    </row>
    <row r="20" customFormat="false" ht="15" hidden="false" customHeight="false" outlineLevel="0" collapsed="false">
      <c r="A20" s="4" t="n">
        <v>16</v>
      </c>
      <c r="B20" s="4" t="s">
        <v>238</v>
      </c>
      <c r="C20" s="25" t="n">
        <v>0</v>
      </c>
      <c r="D20" s="7"/>
    </row>
    <row r="21" customFormat="false" ht="15" hidden="false" customHeight="false" outlineLevel="0" collapsed="false">
      <c r="A21" s="4" t="n">
        <v>17</v>
      </c>
      <c r="B21" s="4" t="s">
        <v>239</v>
      </c>
      <c r="C21" s="25" t="n">
        <v>0</v>
      </c>
      <c r="D21" s="7"/>
    </row>
    <row r="22" customFormat="false" ht="15" hidden="false" customHeight="false" outlineLevel="0" collapsed="false">
      <c r="A22" s="4" t="n">
        <v>18</v>
      </c>
      <c r="B22" s="4" t="s">
        <v>240</v>
      </c>
      <c r="C22" s="25" t="n">
        <v>0</v>
      </c>
      <c r="D22" s="7"/>
    </row>
    <row r="23" customFormat="false" ht="15" hidden="false" customHeight="false" outlineLevel="0" collapsed="false">
      <c r="A23" s="4" t="n">
        <v>19</v>
      </c>
      <c r="B23" s="4" t="s">
        <v>241</v>
      </c>
      <c r="C23" s="25" t="n">
        <v>0</v>
      </c>
      <c r="D23" s="7"/>
    </row>
    <row r="24" customFormat="false" ht="15" hidden="false" customHeight="false" outlineLevel="0" collapsed="false">
      <c r="A24" s="4" t="n">
        <v>20</v>
      </c>
      <c r="B24" s="4" t="s">
        <v>242</v>
      </c>
      <c r="C24" s="25" t="n">
        <v>0</v>
      </c>
      <c r="D24" s="7"/>
    </row>
    <row r="25" customFormat="false" ht="15" hidden="false" customHeight="false" outlineLevel="0" collapsed="false">
      <c r="A25" s="4" t="n">
        <v>21</v>
      </c>
      <c r="B25" s="4" t="s">
        <v>243</v>
      </c>
      <c r="C25" s="25" t="n">
        <v>0</v>
      </c>
      <c r="D25" s="7"/>
    </row>
    <row r="26" customFormat="false" ht="15" hidden="false" customHeight="false" outlineLevel="0" collapsed="false">
      <c r="A26" s="4" t="n">
        <v>22</v>
      </c>
      <c r="B26" s="4" t="s">
        <v>244</v>
      </c>
      <c r="C26" s="25" t="n">
        <v>0</v>
      </c>
      <c r="D26" s="7"/>
    </row>
    <row r="27" customFormat="false" ht="15" hidden="false" customHeight="false" outlineLevel="0" collapsed="false">
      <c r="A27" s="4" t="n">
        <v>23</v>
      </c>
      <c r="B27" s="4" t="s">
        <v>245</v>
      </c>
      <c r="C27" s="25" t="n">
        <v>0</v>
      </c>
      <c r="D27" s="7"/>
    </row>
    <row r="28" customFormat="false" ht="15" hidden="false" customHeight="false" outlineLevel="0" collapsed="false">
      <c r="A28" s="4" t="n">
        <v>24</v>
      </c>
      <c r="B28" s="4" t="s">
        <v>246</v>
      </c>
      <c r="C28" s="25" t="n">
        <v>0</v>
      </c>
      <c r="D28" s="7"/>
    </row>
    <row r="29" customFormat="false" ht="15" hidden="false" customHeight="false" outlineLevel="0" collapsed="false">
      <c r="A29" s="4" t="n">
        <v>25</v>
      </c>
      <c r="B29" s="4" t="s">
        <v>247</v>
      </c>
      <c r="C29" s="25" t="n">
        <v>0</v>
      </c>
      <c r="D29" s="7"/>
    </row>
    <row r="30" customFormat="false" ht="15" hidden="false" customHeight="false" outlineLevel="0" collapsed="false">
      <c r="A30" s="4" t="n">
        <v>26</v>
      </c>
      <c r="B30" s="4" t="s">
        <v>248</v>
      </c>
      <c r="C30" s="25" t="n">
        <v>0</v>
      </c>
      <c r="D30" s="7"/>
    </row>
    <row r="31" customFormat="false" ht="15" hidden="false" customHeight="false" outlineLevel="0" collapsed="false">
      <c r="A31" s="4" t="n">
        <v>27</v>
      </c>
      <c r="B31" s="4" t="s">
        <v>249</v>
      </c>
      <c r="C31" s="25" t="n">
        <v>0</v>
      </c>
      <c r="D31" s="7"/>
    </row>
    <row r="32" customFormat="false" ht="15" hidden="false" customHeight="false" outlineLevel="0" collapsed="false">
      <c r="A32" s="4" t="n">
        <v>28</v>
      </c>
      <c r="B32" s="4" t="s">
        <v>250</v>
      </c>
      <c r="C32" s="25" t="n">
        <v>0</v>
      </c>
      <c r="D32" s="7"/>
    </row>
    <row r="33" customFormat="false" ht="15" hidden="false" customHeight="false" outlineLevel="0" collapsed="false">
      <c r="A33" s="4" t="n">
        <v>29</v>
      </c>
      <c r="B33" s="4" t="s">
        <v>251</v>
      </c>
      <c r="C33" s="25" t="n">
        <v>0</v>
      </c>
      <c r="D33" s="7"/>
    </row>
    <row r="34" customFormat="false" ht="15" hidden="false" customHeight="false" outlineLevel="0" collapsed="false">
      <c r="A34" s="4" t="n">
        <v>30</v>
      </c>
      <c r="B34" s="4" t="s">
        <v>252</v>
      </c>
      <c r="C34" s="25" t="n">
        <v>0</v>
      </c>
      <c r="D34" s="7"/>
    </row>
    <row r="35" customFormat="false" ht="15" hidden="false" customHeight="false" outlineLevel="0" collapsed="false">
      <c r="A35" s="4"/>
      <c r="B35" s="4" t="s">
        <v>253</v>
      </c>
      <c r="C35" s="15" t="n">
        <f aca="false">SUM(C5:C34)/30</f>
        <v>0</v>
      </c>
    </row>
    <row r="37" customFormat="false" ht="15" hidden="false" customHeight="false" outlineLevel="0" collapsed="false">
      <c r="A37" s="8" t="s">
        <v>62</v>
      </c>
    </row>
  </sheetData>
  <mergeCells count="2">
    <mergeCell ref="A1:D1"/>
    <mergeCell ref="A2:D2"/>
  </mergeCells>
  <dataValidations count="30">
    <dataValidation allowBlank="true" errorStyle="stop" operator="between" showDropDown="false" showErrorMessage="false" showInputMessage="false" sqref="C5" type="list">
      <formula1>"0,1"</formula1>
      <formula2>0</formula2>
    </dataValidation>
    <dataValidation allowBlank="true" errorStyle="stop" operator="between" showDropDown="false" showErrorMessage="false" showInputMessage="false" sqref="C6" type="list">
      <formula1>"0,1"</formula1>
      <formula2>0</formula2>
    </dataValidation>
    <dataValidation allowBlank="true" errorStyle="stop" operator="between" showDropDown="false" showErrorMessage="false" showInputMessage="false" sqref="C7" type="list">
      <formula1>"0,1"</formula1>
      <formula2>0</formula2>
    </dataValidation>
    <dataValidation allowBlank="true" errorStyle="stop" operator="between" showDropDown="false" showErrorMessage="false" showInputMessage="false" sqref="C8" type="list">
      <formula1>"0,1"</formula1>
      <formula2>0</formula2>
    </dataValidation>
    <dataValidation allowBlank="true" errorStyle="stop" operator="between" showDropDown="false" showErrorMessage="false" showInputMessage="false" sqref="C9" type="list">
      <formula1>"0,1"</formula1>
      <formula2>0</formula2>
    </dataValidation>
    <dataValidation allowBlank="true" errorStyle="stop" operator="between" showDropDown="false" showErrorMessage="false" showInputMessage="false" sqref="C10" type="list">
      <formula1>"0,1"</formula1>
      <formula2>0</formula2>
    </dataValidation>
    <dataValidation allowBlank="true" errorStyle="stop" operator="between" showDropDown="false" showErrorMessage="false" showInputMessage="false" sqref="C11" type="list">
      <formula1>"0,1"</formula1>
      <formula2>0</formula2>
    </dataValidation>
    <dataValidation allowBlank="true" errorStyle="stop" operator="between" showDropDown="false" showErrorMessage="false" showInputMessage="false" sqref="C12" type="list">
      <formula1>"0,1"</formula1>
      <formula2>0</formula2>
    </dataValidation>
    <dataValidation allowBlank="true" errorStyle="stop" operator="between" showDropDown="false" showErrorMessage="false" showInputMessage="false" sqref="C13" type="list">
      <formula1>"0,1"</formula1>
      <formula2>0</formula2>
    </dataValidation>
    <dataValidation allowBlank="true" errorStyle="stop" operator="between" showDropDown="false" showErrorMessage="false" showInputMessage="false" sqref="C14" type="list">
      <formula1>"0,1"</formula1>
      <formula2>0</formula2>
    </dataValidation>
    <dataValidation allowBlank="true" errorStyle="stop" operator="between" showDropDown="false" showErrorMessage="false" showInputMessage="false" sqref="C15" type="list">
      <formula1>"0,1"</formula1>
      <formula2>0</formula2>
    </dataValidation>
    <dataValidation allowBlank="true" errorStyle="stop" operator="between" showDropDown="false" showErrorMessage="false" showInputMessage="false" sqref="C16" type="list">
      <formula1>"0,1"</formula1>
      <formula2>0</formula2>
    </dataValidation>
    <dataValidation allowBlank="true" errorStyle="stop" operator="between" showDropDown="false" showErrorMessage="false" showInputMessage="false" sqref="C17" type="list">
      <formula1>"0,1"</formula1>
      <formula2>0</formula2>
    </dataValidation>
    <dataValidation allowBlank="true" errorStyle="stop" operator="between" showDropDown="false" showErrorMessage="false" showInputMessage="false" sqref="C18" type="list">
      <formula1>"0,1"</formula1>
      <formula2>0</formula2>
    </dataValidation>
    <dataValidation allowBlank="true" errorStyle="stop" operator="between" showDropDown="false" showErrorMessage="false" showInputMessage="false" sqref="C19" type="list">
      <formula1>"0,1"</formula1>
      <formula2>0</formula2>
    </dataValidation>
    <dataValidation allowBlank="true" errorStyle="stop" operator="between" showDropDown="false" showErrorMessage="false" showInputMessage="false" sqref="C20" type="list">
      <formula1>"0,1"</formula1>
      <formula2>0</formula2>
    </dataValidation>
    <dataValidation allowBlank="true" errorStyle="stop" operator="between" showDropDown="false" showErrorMessage="false" showInputMessage="false" sqref="C21" type="list">
      <formula1>"0,1"</formula1>
      <formula2>0</formula2>
    </dataValidation>
    <dataValidation allowBlank="true" errorStyle="stop" operator="between" showDropDown="false" showErrorMessage="false" showInputMessage="false" sqref="C22" type="list">
      <formula1>"0,1"</formula1>
      <formula2>0</formula2>
    </dataValidation>
    <dataValidation allowBlank="true" errorStyle="stop" operator="between" showDropDown="false" showErrorMessage="false" showInputMessage="false" sqref="C23" type="list">
      <formula1>"0,1"</formula1>
      <formula2>0</formula2>
    </dataValidation>
    <dataValidation allowBlank="true" errorStyle="stop" operator="between" showDropDown="false" showErrorMessage="false" showInputMessage="false" sqref="C24" type="list">
      <formula1>"0,1"</formula1>
      <formula2>0</formula2>
    </dataValidation>
    <dataValidation allowBlank="true" errorStyle="stop" operator="between" showDropDown="false" showErrorMessage="false" showInputMessage="false" sqref="C25" type="list">
      <formula1>"0,1"</formula1>
      <formula2>0</formula2>
    </dataValidation>
    <dataValidation allowBlank="true" errorStyle="stop" operator="between" showDropDown="false" showErrorMessage="false" showInputMessage="false" sqref="C26" type="list">
      <formula1>"0,1"</formula1>
      <formula2>0</formula2>
    </dataValidation>
    <dataValidation allowBlank="true" errorStyle="stop" operator="between" showDropDown="false" showErrorMessage="false" showInputMessage="false" sqref="C27" type="list">
      <formula1>"0,1"</formula1>
      <formula2>0</formula2>
    </dataValidation>
    <dataValidation allowBlank="true" errorStyle="stop" operator="between" showDropDown="false" showErrorMessage="false" showInputMessage="false" sqref="C28" type="list">
      <formula1>"0,1"</formula1>
      <formula2>0</formula2>
    </dataValidation>
    <dataValidation allowBlank="true" errorStyle="stop" operator="between" showDropDown="false" showErrorMessage="false" showInputMessage="false" sqref="C29" type="list">
      <formula1>"0,1"</formula1>
      <formula2>0</formula2>
    </dataValidation>
    <dataValidation allowBlank="true" errorStyle="stop" operator="between" showDropDown="false" showErrorMessage="false" showInputMessage="false" sqref="C30" type="list">
      <formula1>"0,1"</formula1>
      <formula2>0</formula2>
    </dataValidation>
    <dataValidation allowBlank="true" errorStyle="stop" operator="between" showDropDown="false" showErrorMessage="false" showInputMessage="false" sqref="C31" type="list">
      <formula1>"0,1"</formula1>
      <formula2>0</formula2>
    </dataValidation>
    <dataValidation allowBlank="true" errorStyle="stop" operator="between" showDropDown="false" showErrorMessage="false" showInputMessage="false" sqref="C32" type="list">
      <formula1>"0,1"</formula1>
      <formula2>0</formula2>
    </dataValidation>
    <dataValidation allowBlank="true" errorStyle="stop" operator="between" showDropDown="false" showErrorMessage="false" showInputMessage="false" sqref="C33" type="list">
      <formula1>"0,1"</formula1>
      <formula2>0</formula2>
    </dataValidation>
    <dataValidation allowBlank="true" errorStyle="stop" operator="between" showDropDown="false" showErrorMessage="false" showInputMessage="false" sqref="C34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2026-07-28T18:16:12Z</dcterms:created>
  <dc:creator>openpyxl</dc:creator>
  <dc:description/>
  <dc:language>en-US</dc:language>
  <cp:lastModifiedBy/>
  <dcterms:modified xsi:type="dcterms:W3CDTF">2026-07-28T18:16:13Z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